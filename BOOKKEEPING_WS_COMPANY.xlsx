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ables/table3.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Hunar\Downloads\"/>
    </mc:Choice>
  </mc:AlternateContent>
  <xr:revisionPtr revIDLastSave="0" documentId="13_ncr:1_{5BDD800C-96D1-4E0B-A3CB-CFC7D59E4FD6}" xr6:coauthVersionLast="47" xr6:coauthVersionMax="47" xr10:uidLastSave="{00000000-0000-0000-0000-000000000000}"/>
  <bookViews>
    <workbookView xWindow="-108" yWindow="-108" windowWidth="23256" windowHeight="12576" tabRatio="889" firstSheet="2" activeTab="2" xr2:uid="{00000000-000D-0000-FFFF-FFFF00000000}"/>
  </bookViews>
  <sheets>
    <sheet name="CHARTS OF ACCOUNTS" sheetId="5" r:id="rId1"/>
    <sheet name="Transactions" sheetId="3" r:id="rId2"/>
    <sheet name="GENERAL JOURNAL" sheetId="8" r:id="rId3"/>
    <sheet name="GENERAL LEDGER" sheetId="18" r:id="rId4"/>
    <sheet name="TRIAL BALANCE" sheetId="9" r:id="rId5"/>
    <sheet name="CASH BOOK" sheetId="21" r:id="rId6"/>
    <sheet name="DATA_FOR_BANK_RECONCILIATION" sheetId="26" r:id="rId7"/>
    <sheet name="BANK RECONCILIATION" sheetId="22" r:id="rId8"/>
    <sheet name="INCOME STATEMENT" sheetId="19" r:id="rId9"/>
    <sheet name="BALANCE SHEET" sheetId="20" r:id="rId10"/>
  </sheets>
  <definedNames>
    <definedName name="Slicer_ACCOUNT">#N/A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 i="3" l="1"/>
  <c r="L9" i="3" s="1"/>
  <c r="L10" i="3" s="1"/>
  <c r="L11" i="3" s="1"/>
  <c r="L12" i="3" s="1"/>
  <c r="L13" i="3" s="1"/>
  <c r="L14" i="3" s="1"/>
  <c r="E34" i="22"/>
  <c r="E30" i="22"/>
  <c r="E26" i="22"/>
  <c r="E16" i="22"/>
  <c r="K15" i="26"/>
  <c r="K14" i="26"/>
  <c r="K13" i="26"/>
  <c r="K12" i="26"/>
  <c r="K11" i="26"/>
  <c r="K10" i="26"/>
  <c r="K9" i="26"/>
  <c r="E9" i="26"/>
  <c r="E10" i="26"/>
  <c r="E11" i="26" s="1"/>
  <c r="E12" i="26" s="1"/>
  <c r="E13" i="26" s="1"/>
  <c r="E14" i="26" s="1"/>
  <c r="E15" i="26" s="1"/>
  <c r="E16" i="26" s="1"/>
  <c r="E8" i="22"/>
  <c r="I35" i="21"/>
  <c r="D35" i="21"/>
  <c r="E7" i="21" s="1"/>
  <c r="E35" i="21"/>
  <c r="E8" i="21" s="1"/>
  <c r="J35" i="21"/>
  <c r="E13" i="20"/>
  <c r="D17" i="20"/>
  <c r="D18" i="20"/>
  <c r="F28" i="19"/>
  <c r="F27" i="19"/>
  <c r="F26" i="19"/>
  <c r="F25" i="19"/>
  <c r="F23" i="19"/>
  <c r="F24" i="19"/>
  <c r="F22" i="19"/>
  <c r="F21" i="19"/>
  <c r="F20" i="19"/>
  <c r="E32" i="20"/>
  <c r="E25" i="20"/>
  <c r="E29" i="20" s="1"/>
  <c r="E14" i="20"/>
  <c r="E12" i="20"/>
  <c r="E11" i="20"/>
  <c r="F15" i="19"/>
  <c r="F14" i="19"/>
  <c r="G16" i="19" s="1"/>
  <c r="I40" i="20"/>
  <c r="K40" i="20" s="1"/>
  <c r="I39" i="20"/>
  <c r="K39" i="20" s="1"/>
  <c r="I38" i="20"/>
  <c r="K38" i="20" s="1"/>
  <c r="I37" i="20"/>
  <c r="K37" i="20" s="1"/>
  <c r="K36" i="20"/>
  <c r="K35" i="20"/>
  <c r="K34" i="20"/>
  <c r="K33" i="20"/>
  <c r="K32" i="20"/>
  <c r="K31" i="20"/>
  <c r="L36" i="19"/>
  <c r="F45" i="20"/>
  <c r="I36" i="21" l="1"/>
  <c r="J7" i="21" s="1"/>
  <c r="J36" i="21"/>
  <c r="E18" i="20"/>
  <c r="E20" i="20" s="1"/>
  <c r="E9" i="21"/>
  <c r="G29" i="19"/>
  <c r="F10" i="19"/>
  <c r="F9" i="19"/>
  <c r="J8" i="21" l="1"/>
  <c r="J9" i="21" s="1"/>
  <c r="G11" i="19"/>
  <c r="G17" i="19" s="1"/>
  <c r="G32" i="19" l="1"/>
  <c r="E34" i="20" l="1"/>
  <c r="E36" i="20" s="1"/>
  <c r="E38" i="20" s="1"/>
</calcChain>
</file>

<file path=xl/sharedStrings.xml><?xml version="1.0" encoding="utf-8"?>
<sst xmlns="http://schemas.openxmlformats.org/spreadsheetml/2006/main" count="498" uniqueCount="188">
  <si>
    <t>No.</t>
  </si>
  <si>
    <t>Date</t>
  </si>
  <si>
    <t>Description</t>
  </si>
  <si>
    <t>Amount (PKR)</t>
  </si>
  <si>
    <t>Mode/Ref</t>
  </si>
  <si>
    <t>Owner introduced capital</t>
  </si>
  <si>
    <t>Cash</t>
  </si>
  <si>
    <t>Paid shop rent</t>
  </si>
  <si>
    <t>Purchased goods from Ahmed Traders</t>
  </si>
  <si>
    <t>Credit</t>
  </si>
  <si>
    <t>Cash sales</t>
  </si>
  <si>
    <t>Goods sold to Bilal Stores</t>
  </si>
  <si>
    <t>Paid electricity bill</t>
  </si>
  <si>
    <t>Bank cheque CHQ-101</t>
  </si>
  <si>
    <t>Purchased office furniture</t>
  </si>
  <si>
    <t>Bank cheque CHQ-102</t>
  </si>
  <si>
    <t>Received from Bilal Stores</t>
  </si>
  <si>
    <t>Bank deposit DEP-201</t>
  </si>
  <si>
    <t>Purchased goods</t>
  </si>
  <si>
    <t>Freight inward paid</t>
  </si>
  <si>
    <t>Returned goods to Ahmed Traders</t>
  </si>
  <si>
    <t>Credit note</t>
  </si>
  <si>
    <t>Sales to Sana Mart</t>
  </si>
  <si>
    <t>Received from Sana Mart</t>
  </si>
  <si>
    <t>Bank deposit DEP-202</t>
  </si>
  <si>
    <t>Paid salaries</t>
  </si>
  <si>
    <t>Shop supplies purchased</t>
  </si>
  <si>
    <t>Paid Ahmed Traders</t>
  </si>
  <si>
    <t>Bank cheque CHQ-103</t>
  </si>
  <si>
    <t>Customer returned goods</t>
  </si>
  <si>
    <t>Cash refund</t>
  </si>
  <si>
    <t>Bank deposit DEP-203</t>
  </si>
  <si>
    <t>Water bill paid</t>
  </si>
  <si>
    <t>Purchased goods from Noor Wholesalers</t>
  </si>
  <si>
    <t>Advertising paid</t>
  </si>
  <si>
    <t>Bank cheque CHQ-104</t>
  </si>
  <si>
    <t>Bank deposit DEP-204</t>
  </si>
  <si>
    <t>Owner withdrew for personal use</t>
  </si>
  <si>
    <t>Telephone and internet paid</t>
  </si>
  <si>
    <t>Paid Noor Wholesalers</t>
  </si>
  <si>
    <t>Bank cheque CHQ-105</t>
  </si>
  <si>
    <t>Customer paid by bank transfer</t>
  </si>
  <si>
    <t>Bank deposit DEP-205</t>
  </si>
  <si>
    <t>Paid delivery expense</t>
  </si>
  <si>
    <t>Bank cheque CHQ-106</t>
  </si>
  <si>
    <t>Bank deposit DEP-206</t>
  </si>
  <si>
    <t>Depreciation on furniture for the month</t>
  </si>
  <si>
    <t>Adjustment</t>
  </si>
  <si>
    <t>Deposit from Bilal Stores</t>
  </si>
  <si>
    <t>Deposit from Sana Mart</t>
  </si>
  <si>
    <t>Advertising cheque</t>
  </si>
  <si>
    <t>Bank service charges</t>
  </si>
  <si>
    <t>Bank profit/interest credited</t>
  </si>
  <si>
    <t>Closing Balance</t>
  </si>
  <si>
    <t>BANK STATEMENT</t>
  </si>
  <si>
    <t>TRANSACTIONS</t>
  </si>
  <si>
    <t>CREDIT</t>
  </si>
  <si>
    <t>CASH</t>
  </si>
  <si>
    <t>OWNERS EQUITY</t>
  </si>
  <si>
    <t xml:space="preserve">DATE </t>
  </si>
  <si>
    <t>DESCRIPTION</t>
  </si>
  <si>
    <t xml:space="preserve">ACCOUNT </t>
  </si>
  <si>
    <t>DEBIT</t>
  </si>
  <si>
    <t>CAPITAL</t>
  </si>
  <si>
    <t>SALES</t>
  </si>
  <si>
    <t>AHMED TRADERS</t>
  </si>
  <si>
    <t>BILAL STORES</t>
  </si>
  <si>
    <t>REFRENCE ID</t>
  </si>
  <si>
    <t>OFFICE FURNITURE</t>
  </si>
  <si>
    <t xml:space="preserve">ELECTRICITY </t>
  </si>
  <si>
    <t xml:space="preserve">RENT </t>
  </si>
  <si>
    <t>CURRENT ASSETS</t>
  </si>
  <si>
    <t>CURRENT ASSET</t>
  </si>
  <si>
    <t>REVENUE</t>
  </si>
  <si>
    <t>EQUITY</t>
  </si>
  <si>
    <t>EXPENSE</t>
  </si>
  <si>
    <t>INVENTORY</t>
  </si>
  <si>
    <t xml:space="preserve">FRIEGHT </t>
  </si>
  <si>
    <t>SANA MART</t>
  </si>
  <si>
    <t xml:space="preserve">Received from Sana Mart </t>
  </si>
  <si>
    <t>Sales to Sana Mart on Credit</t>
  </si>
  <si>
    <t>SALARIES</t>
  </si>
  <si>
    <t>SUPPLIES</t>
  </si>
  <si>
    <t>CURRENT LIABILITY</t>
  </si>
  <si>
    <t>SALES RETURN</t>
  </si>
  <si>
    <t>CONTRA SALES</t>
  </si>
  <si>
    <t>WATER</t>
  </si>
  <si>
    <t>NOOR WHOLESALERS</t>
  </si>
  <si>
    <t>ADVERTISMENT</t>
  </si>
  <si>
    <t>BANK</t>
  </si>
  <si>
    <t>ACCOUNTS RECEIVABLE</t>
  </si>
  <si>
    <t>DELIVERY</t>
  </si>
  <si>
    <t xml:space="preserve">DEPRECIATION </t>
  </si>
  <si>
    <t>ALLOWNCE FOR DEPRECIATION - FURNITURE</t>
  </si>
  <si>
    <t>CONTRA ASSETS</t>
  </si>
  <si>
    <t>Sum of DEBIT</t>
  </si>
  <si>
    <t>Row Labels</t>
  </si>
  <si>
    <t>Grand Total</t>
  </si>
  <si>
    <t>Sum of CREDIT</t>
  </si>
  <si>
    <t>Sum of BALANCE</t>
  </si>
  <si>
    <t xml:space="preserve"> </t>
  </si>
  <si>
    <t>BALANCE SHEET</t>
  </si>
  <si>
    <t>INCOME STATEMENT</t>
  </si>
  <si>
    <t>FIXED ASSET</t>
  </si>
  <si>
    <t>Sales Return</t>
  </si>
  <si>
    <t>Sales</t>
  </si>
  <si>
    <t xml:space="preserve">NET SALES </t>
  </si>
  <si>
    <t xml:space="preserve">Openinng inventory </t>
  </si>
  <si>
    <t xml:space="preserve">Closing inventory </t>
  </si>
  <si>
    <t xml:space="preserve">GROSS PROFIT </t>
  </si>
  <si>
    <t>OPERATING PROFIT</t>
  </si>
  <si>
    <t xml:space="preserve">Rent </t>
  </si>
  <si>
    <t xml:space="preserve">Electricity </t>
  </si>
  <si>
    <t xml:space="preserve">Frieght </t>
  </si>
  <si>
    <t>Salaries</t>
  </si>
  <si>
    <t>Water</t>
  </si>
  <si>
    <t>Advertisment</t>
  </si>
  <si>
    <t>Delivery</t>
  </si>
  <si>
    <t xml:space="preserve">Depreciation </t>
  </si>
  <si>
    <t>TELEPHONE AND INTERNET</t>
  </si>
  <si>
    <t>Telephone and Internet</t>
  </si>
  <si>
    <t>Credit sales to a customer</t>
  </si>
  <si>
    <t>TOTAL OPERATING PROFIT</t>
  </si>
  <si>
    <t>Tax</t>
  </si>
  <si>
    <t>Finance cost</t>
  </si>
  <si>
    <t>NET PROFIT</t>
  </si>
  <si>
    <t>ASSETS</t>
  </si>
  <si>
    <t>LIABILITIES</t>
  </si>
  <si>
    <t>TOTAL ASSETS</t>
  </si>
  <si>
    <t>CURRENT LIABILITIES</t>
  </si>
  <si>
    <t>LONG-TERM LIABILITIES</t>
  </si>
  <si>
    <t>TOTAL LIABILITIES</t>
  </si>
  <si>
    <t>TOTAL OWNERS EQUITY</t>
  </si>
  <si>
    <t>TOTAL LIABILITIES AND EQUITIES</t>
  </si>
  <si>
    <t>FIXED ASSETS</t>
  </si>
  <si>
    <t>INVENTORY RETURN</t>
  </si>
  <si>
    <t>Inventory return</t>
  </si>
  <si>
    <t>Cost of sales</t>
  </si>
  <si>
    <t xml:space="preserve">  CASH</t>
  </si>
  <si>
    <t xml:space="preserve">  BANK</t>
  </si>
  <si>
    <t xml:space="preserve">  ACCOUNTS RECEIVABLE</t>
  </si>
  <si>
    <t xml:space="preserve">  SUPPLIES</t>
  </si>
  <si>
    <t xml:space="preserve">  OFFICE FURNITURE</t>
  </si>
  <si>
    <t xml:space="preserve">  ALLOWNCE FOR DEPRECIATION - OFFICE FURNITURE</t>
  </si>
  <si>
    <t xml:space="preserve">  ACCOUNTS PAYABLE</t>
  </si>
  <si>
    <t xml:space="preserve">  CONTRIBUTED CAPITAL</t>
  </si>
  <si>
    <t>PARTICULERS</t>
  </si>
  <si>
    <t>RECEIPTS</t>
  </si>
  <si>
    <t>PAYAMENTS</t>
  </si>
  <si>
    <t xml:space="preserve">DATE  </t>
  </si>
  <si>
    <t xml:space="preserve">PARTICULERS </t>
  </si>
  <si>
    <t xml:space="preserve">CASH </t>
  </si>
  <si>
    <t xml:space="preserve">BANK </t>
  </si>
  <si>
    <t xml:space="preserve">CASH TOTAL </t>
  </si>
  <si>
    <t xml:space="preserve">BANK TOTAL </t>
  </si>
  <si>
    <t>GRAND TOTAL</t>
  </si>
  <si>
    <t xml:space="preserve">To opening balance </t>
  </si>
  <si>
    <t xml:space="preserve">Paid Ahmed Traders </t>
  </si>
  <si>
    <t>REFRENCE</t>
  </si>
  <si>
    <t>CLOSING BALANCES CARRIED FORWARD</t>
  </si>
  <si>
    <t xml:space="preserve">Opening Inventory as at calculated on 1 march </t>
  </si>
  <si>
    <t xml:space="preserve">  PROFIT / (LOSS)</t>
  </si>
  <si>
    <t xml:space="preserve">  DRAWINGS</t>
  </si>
  <si>
    <t>FOOTING</t>
  </si>
  <si>
    <t>Bank Reconcilation Report</t>
  </si>
  <si>
    <t>Cheque #</t>
  </si>
  <si>
    <t>Closing Balance as per General Ledger Book</t>
  </si>
  <si>
    <t>Items in bank statement but not in bank book</t>
  </si>
  <si>
    <t>Items in Bank Book but not in bank Statement</t>
  </si>
  <si>
    <t>Less:Outstanding Lodgments</t>
  </si>
  <si>
    <t>Add:Unpresented Cheques</t>
  </si>
  <si>
    <t>Closing Balance as per bank Statement</t>
  </si>
  <si>
    <t>WS COMPANY</t>
  </si>
  <si>
    <t>FOR THE MONTH ENDED MARCH, 2026</t>
  </si>
  <si>
    <t>-</t>
  </si>
  <si>
    <t>Amount PKR</t>
  </si>
  <si>
    <t>Description / Particulars</t>
  </si>
  <si>
    <t>Opening Balance (as per Ledger)</t>
  </si>
  <si>
    <t>Balance
PKR</t>
  </si>
  <si>
    <t>Credit (Payments)
PKR</t>
  </si>
  <si>
    <t>Debit (Receipts)
PKR</t>
  </si>
  <si>
    <t>Opening Balance (as per bank statement)</t>
  </si>
  <si>
    <t>Debit (Payements)
PKR</t>
  </si>
  <si>
    <t>Credit (Receipts)
PKR</t>
  </si>
  <si>
    <t>Cheque received from Sana Mart</t>
  </si>
  <si>
    <t>Customer paid by cheque</t>
  </si>
  <si>
    <t>Dishonoured Cheque</t>
  </si>
  <si>
    <t>BANK 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</si>
</sst>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yyyy;@"/>
    <numFmt numFmtId="165" formatCode="[$PKR]\ #,##0"/>
    <numFmt numFmtId="166" formatCode="[$PKR]\ #,##0_);\([$PKR]\ #,##0\)"/>
  </numFmts>
  <fonts count="14" x14ac:knownFonts="1">
    <font>
      <sz val="11"/>
      <color theme="1"/>
      <name val="Calibri"/>
      <family val="2"/>
      <scheme val="minor"/>
    </font>
    <font>
      <b/>
      <sz val="11"/>
      <color theme="1"/>
      <name val="Calibri"/>
      <family val="2"/>
      <scheme val="minor"/>
    </font>
    <font>
      <sz val="8"/>
      <name val="Calibri"/>
      <family val="2"/>
      <scheme val="minor"/>
    </font>
    <font>
      <sz val="12"/>
      <color theme="1"/>
      <name val="Calibri"/>
      <family val="2"/>
      <scheme val="minor"/>
    </font>
    <font>
      <b/>
      <sz val="18"/>
      <color rgb="FF000000"/>
      <name val="Calibri"/>
      <family val="2"/>
      <scheme val="minor"/>
    </font>
    <font>
      <sz val="11"/>
      <color theme="0"/>
      <name val="Calibri"/>
      <family val="2"/>
      <scheme val="minor"/>
    </font>
    <font>
      <sz val="11"/>
      <color theme="1"/>
      <name val="Calibri"/>
      <family val="2"/>
      <scheme val="minor"/>
    </font>
    <font>
      <b/>
      <sz val="14"/>
      <color theme="0"/>
      <name val="Calibri"/>
      <family val="2"/>
      <scheme val="minor"/>
    </font>
    <font>
      <b/>
      <sz val="12"/>
      <color theme="1"/>
      <name val="Calibri"/>
      <family val="2"/>
      <scheme val="minor"/>
    </font>
    <font>
      <b/>
      <sz val="14"/>
      <color theme="1"/>
      <name val="Calibri"/>
      <family val="2"/>
      <scheme val="minor"/>
    </font>
    <font>
      <b/>
      <sz val="10"/>
      <color theme="1"/>
      <name val="Arial"/>
      <family val="2"/>
    </font>
    <font>
      <sz val="10"/>
      <color theme="1"/>
      <name val="Arial"/>
      <family val="2"/>
    </font>
    <font>
      <b/>
      <sz val="16"/>
      <color theme="1"/>
      <name val="Calibri"/>
      <family val="2"/>
      <scheme val="minor"/>
    </font>
    <font>
      <b/>
      <sz val="24"/>
      <color theme="1"/>
      <name val="Calibri"/>
      <family val="2"/>
      <scheme val="minor"/>
    </font>
  </fonts>
  <fills count="14">
    <fill>
      <patternFill patternType="none"/>
    </fill>
    <fill>
      <patternFill patternType="gray125"/>
    </fill>
    <fill>
      <patternFill patternType="solid">
        <fgColor theme="6" tint="0.79998168889431442"/>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4" tint="-0.49998474074526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C6D9F0"/>
        <bgColor indexed="64"/>
      </patternFill>
    </fill>
    <fill>
      <patternFill patternType="solid">
        <fgColor rgb="FFFFFFFF"/>
        <bgColor indexed="64"/>
      </patternFill>
    </fill>
    <fill>
      <patternFill patternType="solid">
        <fgColor theme="6" tint="0.79998168889431442"/>
        <bgColor theme="6" tint="0.79998168889431442"/>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double">
        <color indexed="64"/>
      </bottom>
      <diagonal/>
    </border>
    <border>
      <left style="thick">
        <color theme="0"/>
      </left>
      <right style="thick">
        <color theme="0"/>
      </right>
      <top style="thick">
        <color theme="0"/>
      </top>
      <bottom style="thick">
        <color theme="0"/>
      </bottom>
      <diagonal/>
    </border>
    <border>
      <left/>
      <right style="thick">
        <color theme="0"/>
      </right>
      <top style="thick">
        <color theme="0"/>
      </top>
      <bottom style="thick">
        <color theme="0"/>
      </bottom>
      <diagonal/>
    </border>
    <border>
      <left style="thick">
        <color theme="0"/>
      </left>
      <right/>
      <top style="thick">
        <color theme="0"/>
      </top>
      <bottom style="thick">
        <color theme="0"/>
      </bottom>
      <diagonal/>
    </border>
    <border>
      <left style="thick">
        <color theme="0"/>
      </left>
      <right/>
      <top/>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
      <left/>
      <right/>
      <top style="thick">
        <color theme="0"/>
      </top>
      <bottom/>
      <diagonal/>
    </border>
    <border>
      <left/>
      <right/>
      <top style="thick">
        <color theme="0"/>
      </top>
      <bottom style="thick">
        <color theme="0"/>
      </bottom>
      <diagonal/>
    </border>
    <border>
      <left style="thick">
        <color theme="0"/>
      </left>
      <right style="thick">
        <color theme="0"/>
      </right>
      <top/>
      <bottom style="thick">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theme="0"/>
      </left>
      <right/>
      <top/>
      <bottom style="thick">
        <color theme="0"/>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style="thick">
        <color theme="0"/>
      </left>
      <right/>
      <top style="thin">
        <color indexed="64"/>
      </top>
      <bottom style="double">
        <color indexed="64"/>
      </bottom>
      <diagonal/>
    </border>
    <border>
      <left style="thick">
        <color theme="0"/>
      </left>
      <right style="thick">
        <color theme="0"/>
      </right>
      <top/>
      <bottom/>
      <diagonal/>
    </border>
    <border>
      <left style="thick">
        <color theme="0"/>
      </left>
      <right style="thick">
        <color theme="0"/>
      </right>
      <top style="thin">
        <color indexed="64"/>
      </top>
      <bottom style="double">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000000"/>
      </bottom>
      <diagonal/>
    </border>
    <border>
      <left/>
      <right/>
      <top/>
      <bottom style="medium">
        <color rgb="FFCCCCCC"/>
      </bottom>
      <diagonal/>
    </border>
  </borders>
  <cellStyleXfs count="2">
    <xf numFmtId="0" fontId="0" fillId="0" borderId="0"/>
    <xf numFmtId="43" fontId="6" fillId="0" borderId="0" applyFont="0" applyFill="0" applyBorder="0" applyAlignment="0" applyProtection="0"/>
  </cellStyleXfs>
  <cellXfs count="155">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left" vertical="center"/>
    </xf>
    <xf numFmtId="164" fontId="0" fillId="0" borderId="0" xfId="0" applyNumberFormat="1" applyAlignment="1">
      <alignment horizontal="center"/>
    </xf>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1" xfId="0" applyBorder="1" applyAlignment="1">
      <alignment horizontal="left"/>
    </xf>
    <xf numFmtId="0" fontId="0" fillId="0" borderId="12" xfId="0" applyBorder="1"/>
    <xf numFmtId="0" fontId="0" fillId="0" borderId="13" xfId="0" applyBorder="1"/>
    <xf numFmtId="37" fontId="0" fillId="0" borderId="0" xfId="0" applyNumberFormat="1"/>
    <xf numFmtId="0" fontId="0" fillId="0" borderId="1" xfId="0" pivotButton="1" applyBorder="1" applyAlignment="1">
      <alignment horizontal="center"/>
    </xf>
    <xf numFmtId="3" fontId="0" fillId="0" borderId="0" xfId="0" applyNumberFormat="1"/>
    <xf numFmtId="0" fontId="0" fillId="0" borderId="0" xfId="0" applyAlignment="1">
      <alignment horizontal="left"/>
    </xf>
    <xf numFmtId="0" fontId="4" fillId="0" borderId="0" xfId="0" applyFont="1" applyAlignment="1">
      <alignment horizontal="center" vertical="center"/>
    </xf>
    <xf numFmtId="0" fontId="0" fillId="2" borderId="0" xfId="0" applyFill="1"/>
    <xf numFmtId="0" fontId="0" fillId="2" borderId="2" xfId="0" applyFill="1" applyBorder="1"/>
    <xf numFmtId="0" fontId="0" fillId="2" borderId="14" xfId="0" applyFill="1" applyBorder="1"/>
    <xf numFmtId="37" fontId="0" fillId="2" borderId="14" xfId="0" applyNumberFormat="1" applyFill="1" applyBorder="1"/>
    <xf numFmtId="37" fontId="0" fillId="2" borderId="3" xfId="0" applyNumberFormat="1" applyFill="1" applyBorder="1"/>
    <xf numFmtId="0" fontId="0" fillId="2" borderId="4" xfId="0" applyFill="1" applyBorder="1"/>
    <xf numFmtId="37" fontId="0" fillId="2" borderId="7" xfId="0" applyNumberFormat="1" applyFill="1" applyBorder="1"/>
    <xf numFmtId="37" fontId="0" fillId="2" borderId="5" xfId="0" applyNumberFormat="1" applyFill="1" applyBorder="1"/>
    <xf numFmtId="37" fontId="0" fillId="2" borderId="0" xfId="0" applyNumberFormat="1" applyFill="1"/>
    <xf numFmtId="0" fontId="0" fillId="2" borderId="7" xfId="0" applyFill="1" applyBorder="1"/>
    <xf numFmtId="37" fontId="0" fillId="2" borderId="8" xfId="0" applyNumberFormat="1" applyFill="1" applyBorder="1"/>
    <xf numFmtId="0" fontId="0" fillId="2" borderId="6" xfId="0" applyFill="1" applyBorder="1"/>
    <xf numFmtId="37" fontId="1" fillId="2" borderId="15" xfId="0" applyNumberFormat="1" applyFont="1" applyFill="1" applyBorder="1"/>
    <xf numFmtId="0" fontId="1" fillId="2" borderId="2" xfId="0" applyFont="1" applyFill="1" applyBorder="1"/>
    <xf numFmtId="0" fontId="0" fillId="2" borderId="3" xfId="0" applyFill="1" applyBorder="1"/>
    <xf numFmtId="0" fontId="3" fillId="2" borderId="4" xfId="0" applyFont="1" applyFill="1" applyBorder="1"/>
    <xf numFmtId="0" fontId="0" fillId="2" borderId="0" xfId="0" applyFill="1" applyAlignment="1">
      <alignment horizontal="left"/>
    </xf>
    <xf numFmtId="0" fontId="0" fillId="2" borderId="5" xfId="0" applyFill="1" applyBorder="1"/>
    <xf numFmtId="0" fontId="0" fillId="2" borderId="4" xfId="0" applyFill="1" applyBorder="1" applyAlignment="1">
      <alignment horizontal="left"/>
    </xf>
    <xf numFmtId="0" fontId="3" fillId="2" borderId="4" xfId="0" applyFont="1" applyFill="1" applyBorder="1" applyAlignment="1">
      <alignment horizontal="left"/>
    </xf>
    <xf numFmtId="0" fontId="1" fillId="2" borderId="4" xfId="0" applyFont="1" applyFill="1" applyBorder="1" applyAlignment="1">
      <alignment horizontal="left"/>
    </xf>
    <xf numFmtId="0" fontId="1" fillId="2" borderId="4" xfId="0" applyFont="1" applyFill="1" applyBorder="1"/>
    <xf numFmtId="37" fontId="1" fillId="2" borderId="8" xfId="0" applyNumberFormat="1" applyFont="1" applyFill="1" applyBorder="1"/>
    <xf numFmtId="0" fontId="1" fillId="2" borderId="6" xfId="0" applyFont="1" applyFill="1" applyBorder="1"/>
    <xf numFmtId="0" fontId="5" fillId="4" borderId="16" xfId="0" applyFont="1" applyFill="1" applyBorder="1" applyAlignment="1">
      <alignment horizontal="center" vertical="center"/>
    </xf>
    <xf numFmtId="0" fontId="0" fillId="3" borderId="16" xfId="0" applyFill="1" applyBorder="1"/>
    <xf numFmtId="0" fontId="5" fillId="4" borderId="17" xfId="0" applyFont="1" applyFill="1" applyBorder="1" applyAlignment="1">
      <alignment horizontal="center" vertical="center"/>
    </xf>
    <xf numFmtId="0" fontId="0" fillId="0" borderId="19" xfId="0" applyBorder="1"/>
    <xf numFmtId="0" fontId="0" fillId="3" borderId="21" xfId="0" applyFill="1" applyBorder="1"/>
    <xf numFmtId="166" fontId="5" fillId="4" borderId="16" xfId="0" applyNumberFormat="1" applyFont="1" applyFill="1" applyBorder="1"/>
    <xf numFmtId="165" fontId="0" fillId="5" borderId="16" xfId="0" applyNumberFormat="1" applyFill="1" applyBorder="1"/>
    <xf numFmtId="166" fontId="0" fillId="5" borderId="16" xfId="0" applyNumberFormat="1" applyFill="1" applyBorder="1"/>
    <xf numFmtId="166" fontId="5" fillId="4" borderId="21" xfId="0" applyNumberFormat="1" applyFont="1" applyFill="1" applyBorder="1"/>
    <xf numFmtId="0" fontId="1" fillId="2" borderId="27" xfId="0" applyFont="1" applyFill="1" applyBorder="1"/>
    <xf numFmtId="164" fontId="0" fillId="3" borderId="17" xfId="0" applyNumberFormat="1" applyFill="1" applyBorder="1"/>
    <xf numFmtId="164" fontId="0" fillId="3" borderId="16" xfId="0" applyNumberFormat="1" applyFill="1" applyBorder="1"/>
    <xf numFmtId="164" fontId="0" fillId="3" borderId="25" xfId="0" applyNumberFormat="1" applyFill="1" applyBorder="1"/>
    <xf numFmtId="0" fontId="0" fillId="3" borderId="25" xfId="0" applyFill="1" applyBorder="1"/>
    <xf numFmtId="166" fontId="0" fillId="5" borderId="25" xfId="0" applyNumberFormat="1" applyFill="1" applyBorder="1"/>
    <xf numFmtId="164" fontId="0" fillId="3" borderId="20" xfId="0" applyNumberFormat="1" applyFill="1" applyBorder="1"/>
    <xf numFmtId="165" fontId="0" fillId="5" borderId="21" xfId="0" applyNumberFormat="1" applyFill="1" applyBorder="1"/>
    <xf numFmtId="164" fontId="0" fillId="3" borderId="21" xfId="0" applyNumberFormat="1" applyFill="1" applyBorder="1"/>
    <xf numFmtId="0" fontId="0" fillId="0" borderId="0" xfId="0" pivotButton="1"/>
    <xf numFmtId="166" fontId="0" fillId="5" borderId="21" xfId="0" applyNumberFormat="1" applyFill="1" applyBorder="1"/>
    <xf numFmtId="166" fontId="0" fillId="0" borderId="0" xfId="0" applyNumberFormat="1"/>
    <xf numFmtId="0" fontId="0" fillId="0" borderId="5" xfId="0" applyBorder="1"/>
    <xf numFmtId="0" fontId="0" fillId="0" borderId="8" xfId="0" applyBorder="1"/>
    <xf numFmtId="0" fontId="0" fillId="0" borderId="2" xfId="0" applyBorder="1"/>
    <xf numFmtId="0" fontId="0" fillId="0" borderId="3" xfId="0" applyBorder="1"/>
    <xf numFmtId="0" fontId="0" fillId="0" borderId="4" xfId="0" applyBorder="1"/>
    <xf numFmtId="0" fontId="0" fillId="0" borderId="6" xfId="0" applyBorder="1"/>
    <xf numFmtId="164" fontId="0" fillId="0" borderId="20" xfId="0" applyNumberFormat="1" applyBorder="1"/>
    <xf numFmtId="0" fontId="0" fillId="0" borderId="21" xfId="0" applyBorder="1"/>
    <xf numFmtId="165" fontId="0" fillId="0" borderId="21" xfId="0" applyNumberFormat="1" applyBorder="1"/>
    <xf numFmtId="164" fontId="0" fillId="0" borderId="21" xfId="0" applyNumberFormat="1" applyBorder="1"/>
    <xf numFmtId="166" fontId="0" fillId="0" borderId="33" xfId="0" applyNumberFormat="1" applyBorder="1"/>
    <xf numFmtId="166" fontId="0" fillId="0" borderId="19" xfId="0" applyNumberFormat="1" applyBorder="1"/>
    <xf numFmtId="37" fontId="1" fillId="2" borderId="5" xfId="0" applyNumberFormat="1" applyFont="1" applyFill="1" applyBorder="1"/>
    <xf numFmtId="165" fontId="0" fillId="0" borderId="0" xfId="0" applyNumberFormat="1"/>
    <xf numFmtId="166" fontId="1" fillId="5" borderId="34" xfId="0" applyNumberFormat="1" applyFont="1" applyFill="1" applyBorder="1"/>
    <xf numFmtId="164" fontId="0" fillId="0" borderId="0" xfId="0" applyNumberFormat="1"/>
    <xf numFmtId="164" fontId="0" fillId="0" borderId="30" xfId="0" applyNumberFormat="1" applyBorder="1" applyAlignment="1">
      <alignment horizontal="center"/>
    </xf>
    <xf numFmtId="0" fontId="0" fillId="0" borderId="31" xfId="0" applyBorder="1"/>
    <xf numFmtId="164" fontId="0" fillId="7" borderId="0" xfId="0" applyNumberFormat="1" applyFill="1"/>
    <xf numFmtId="0" fontId="0" fillId="7" borderId="0" xfId="0" applyFill="1"/>
    <xf numFmtId="0" fontId="0" fillId="7" borderId="0" xfId="0" applyFill="1" applyAlignment="1">
      <alignment wrapText="1"/>
    </xf>
    <xf numFmtId="0" fontId="0" fillId="7" borderId="42" xfId="0" applyFill="1" applyBorder="1" applyAlignment="1">
      <alignment wrapText="1"/>
    </xf>
    <xf numFmtId="0" fontId="0" fillId="7" borderId="43" xfId="0" applyFill="1" applyBorder="1" applyAlignment="1">
      <alignment wrapText="1"/>
    </xf>
    <xf numFmtId="0" fontId="8" fillId="7" borderId="42" xfId="0" applyFont="1" applyFill="1" applyBorder="1" applyAlignment="1">
      <alignment vertical="center"/>
    </xf>
    <xf numFmtId="0" fontId="8" fillId="7" borderId="0" xfId="0" applyFont="1" applyFill="1" applyAlignment="1">
      <alignment horizontal="center" wrapText="1"/>
    </xf>
    <xf numFmtId="0" fontId="8" fillId="7" borderId="43" xfId="0" applyFont="1" applyFill="1" applyBorder="1" applyAlignment="1">
      <alignment horizontal="center" wrapText="1"/>
    </xf>
    <xf numFmtId="0" fontId="9" fillId="8" borderId="42" xfId="0" applyFont="1" applyFill="1" applyBorder="1" applyAlignment="1">
      <alignment vertical="center"/>
    </xf>
    <xf numFmtId="0" fontId="0" fillId="8" borderId="0" xfId="0" applyFill="1" applyAlignment="1">
      <alignment wrapText="1"/>
    </xf>
    <xf numFmtId="0" fontId="8" fillId="9" borderId="42" xfId="0" applyFont="1" applyFill="1" applyBorder="1" applyAlignment="1">
      <alignment vertical="center"/>
    </xf>
    <xf numFmtId="0" fontId="0" fillId="9" borderId="0" xfId="0" applyFill="1" applyAlignment="1">
      <alignment wrapText="1"/>
    </xf>
    <xf numFmtId="37" fontId="0" fillId="7" borderId="43" xfId="0" applyNumberFormat="1" applyFill="1" applyBorder="1" applyAlignment="1">
      <alignment horizontal="right" wrapText="1"/>
    </xf>
    <xf numFmtId="0" fontId="0" fillId="7" borderId="42" xfId="0" applyFill="1" applyBorder="1"/>
    <xf numFmtId="37" fontId="0" fillId="7" borderId="43" xfId="1" applyNumberFormat="1" applyFont="1" applyFill="1" applyBorder="1" applyAlignment="1">
      <alignment horizontal="right" wrapText="1"/>
    </xf>
    <xf numFmtId="0" fontId="0" fillId="7" borderId="0" xfId="0" applyFill="1" applyAlignment="1">
      <alignment horizontal="center" wrapText="1"/>
    </xf>
    <xf numFmtId="37" fontId="0" fillId="0" borderId="43" xfId="0" applyNumberFormat="1" applyBorder="1" applyAlignment="1">
      <alignment horizontal="right"/>
    </xf>
    <xf numFmtId="37" fontId="0" fillId="7" borderId="44" xfId="1" applyNumberFormat="1" applyFont="1" applyFill="1" applyBorder="1" applyAlignment="1">
      <alignment horizontal="right" wrapText="1"/>
    </xf>
    <xf numFmtId="0" fontId="0" fillId="2" borderId="42" xfId="0" applyFill="1" applyBorder="1" applyAlignment="1">
      <alignment vertical="center"/>
    </xf>
    <xf numFmtId="0" fontId="0" fillId="0" borderId="42" xfId="0" applyBorder="1"/>
    <xf numFmtId="0" fontId="0" fillId="7" borderId="42" xfId="0" applyFill="1" applyBorder="1" applyAlignment="1">
      <alignment vertical="center"/>
    </xf>
    <xf numFmtId="15" fontId="0" fillId="7" borderId="0" xfId="0" applyNumberFormat="1" applyFill="1" applyAlignment="1">
      <alignment horizontal="center" wrapText="1"/>
    </xf>
    <xf numFmtId="0" fontId="9" fillId="10" borderId="46" xfId="0" applyFont="1" applyFill="1" applyBorder="1" applyAlignment="1">
      <alignment vertical="center"/>
    </xf>
    <xf numFmtId="0" fontId="0" fillId="10" borderId="47" xfId="0" applyFill="1" applyBorder="1" applyAlignment="1">
      <alignment wrapText="1"/>
    </xf>
    <xf numFmtId="37" fontId="1" fillId="8" borderId="44" xfId="1" applyNumberFormat="1" applyFont="1" applyFill="1" applyBorder="1" applyAlignment="1">
      <alignment horizontal="right" wrapText="1"/>
    </xf>
    <xf numFmtId="37" fontId="0" fillId="9" borderId="43" xfId="0" applyNumberFormat="1" applyFill="1" applyBorder="1" applyAlignment="1">
      <alignment horizontal="right" wrapText="1"/>
    </xf>
    <xf numFmtId="37" fontId="0" fillId="7" borderId="45" xfId="1" applyNumberFormat="1" applyFont="1" applyFill="1" applyBorder="1" applyAlignment="1">
      <alignment horizontal="right" wrapText="1"/>
    </xf>
    <xf numFmtId="37" fontId="0" fillId="7" borderId="43" xfId="0" applyNumberFormat="1" applyFill="1" applyBorder="1" applyAlignment="1">
      <alignment horizontal="right"/>
    </xf>
    <xf numFmtId="37" fontId="0" fillId="7" borderId="45" xfId="0" applyNumberFormat="1" applyFill="1" applyBorder="1" applyAlignment="1">
      <alignment horizontal="right" wrapText="1"/>
    </xf>
    <xf numFmtId="37" fontId="9" fillId="10" borderId="36" xfId="1" applyNumberFormat="1" applyFont="1" applyFill="1" applyBorder="1" applyAlignment="1">
      <alignment horizontal="right" wrapText="1"/>
    </xf>
    <xf numFmtId="0" fontId="10" fillId="11" borderId="48" xfId="0" applyFont="1" applyFill="1" applyBorder="1" applyAlignment="1">
      <alignment horizontal="center" vertical="center" wrapText="1"/>
    </xf>
    <xf numFmtId="0" fontId="10" fillId="11" borderId="48" xfId="0" applyFont="1" applyFill="1" applyBorder="1" applyAlignment="1">
      <alignment vertical="center" wrapText="1"/>
    </xf>
    <xf numFmtId="0" fontId="10" fillId="12" borderId="49" xfId="0" applyFont="1" applyFill="1" applyBorder="1" applyAlignment="1">
      <alignment wrapText="1"/>
    </xf>
    <xf numFmtId="0" fontId="0" fillId="0" borderId="0" xfId="0" applyAlignment="1">
      <alignment wrapText="1"/>
    </xf>
    <xf numFmtId="164" fontId="11" fillId="0" borderId="0" xfId="0" applyNumberFormat="1" applyFont="1" applyAlignment="1">
      <alignment horizontal="center" wrapText="1"/>
    </xf>
    <xf numFmtId="0" fontId="11" fillId="0" borderId="0" xfId="0" applyFont="1" applyAlignment="1">
      <alignment wrapText="1"/>
    </xf>
    <xf numFmtId="0" fontId="11" fillId="0" borderId="0" xfId="0" applyFont="1" applyAlignment="1">
      <alignment horizontal="right" wrapText="1"/>
    </xf>
    <xf numFmtId="3" fontId="10" fillId="0" borderId="0" xfId="0" applyNumberFormat="1" applyFont="1" applyAlignment="1">
      <alignment horizontal="right" wrapText="1"/>
    </xf>
    <xf numFmtId="3" fontId="11" fillId="0" borderId="0" xfId="0" applyNumberFormat="1" applyFont="1" applyAlignment="1">
      <alignment horizontal="right" wrapText="1"/>
    </xf>
    <xf numFmtId="164" fontId="0" fillId="13" borderId="0" xfId="0" applyNumberFormat="1" applyFill="1" applyAlignment="1">
      <alignment horizontal="center"/>
    </xf>
    <xf numFmtId="165" fontId="0" fillId="7" borderId="0" xfId="0" applyNumberFormat="1" applyFill="1"/>
    <xf numFmtId="0" fontId="13" fillId="0" borderId="0" xfId="0" applyFont="1" applyAlignment="1">
      <alignment vertical="center"/>
    </xf>
    <xf numFmtId="0" fontId="10" fillId="0" borderId="48" xfId="0" applyFont="1" applyBorder="1" applyAlignment="1">
      <alignment horizontal="center" vertical="center" wrapText="1"/>
    </xf>
    <xf numFmtId="0" fontId="10" fillId="0" borderId="48" xfId="0" applyFont="1" applyBorder="1" applyAlignment="1">
      <alignment vertical="center" wrapText="1"/>
    </xf>
    <xf numFmtId="166" fontId="0" fillId="5" borderId="29" xfId="0" applyNumberFormat="1" applyFill="1" applyBorder="1"/>
    <xf numFmtId="166" fontId="0" fillId="5" borderId="18" xfId="0" applyNumberFormat="1" applyFill="1" applyBorder="1"/>
    <xf numFmtId="166" fontId="0" fillId="5" borderId="22" xfId="0" applyNumberFormat="1" applyFill="1" applyBorder="1"/>
    <xf numFmtId="166" fontId="1" fillId="5" borderId="32" xfId="0" applyNumberFormat="1" applyFont="1" applyFill="1" applyBorder="1"/>
    <xf numFmtId="0" fontId="5" fillId="4" borderId="18" xfId="0" applyFont="1" applyFill="1" applyBorder="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3" fillId="0" borderId="50" xfId="0" applyFont="1" applyBorder="1" applyAlignment="1">
      <alignment horizontal="center" vertical="center"/>
    </xf>
    <xf numFmtId="0" fontId="0" fillId="0" borderId="0" xfId="0" applyAlignment="1">
      <alignment horizontal="center"/>
    </xf>
    <xf numFmtId="0" fontId="5" fillId="4" borderId="25" xfId="0" applyFont="1" applyFill="1" applyBorder="1" applyAlignment="1">
      <alignment horizontal="center"/>
    </xf>
    <xf numFmtId="0" fontId="5" fillId="4" borderId="16" xfId="0" applyFont="1" applyFill="1" applyBorder="1" applyAlignment="1">
      <alignment horizontal="center"/>
    </xf>
    <xf numFmtId="0" fontId="5" fillId="4" borderId="18" xfId="0" applyFont="1" applyFill="1" applyBorder="1" applyAlignment="1">
      <alignment horizontal="left"/>
    </xf>
    <xf numFmtId="0" fontId="5" fillId="4" borderId="24" xfId="0" applyFont="1" applyFill="1" applyBorder="1" applyAlignment="1">
      <alignment horizontal="left"/>
    </xf>
    <xf numFmtId="0" fontId="5" fillId="4" borderId="17" xfId="0" applyFont="1" applyFill="1" applyBorder="1" applyAlignment="1">
      <alignment horizontal="left"/>
    </xf>
    <xf numFmtId="0" fontId="5" fillId="4" borderId="22" xfId="0" applyFont="1" applyFill="1" applyBorder="1" applyAlignment="1">
      <alignment horizontal="left"/>
    </xf>
    <xf numFmtId="0" fontId="5" fillId="4" borderId="23" xfId="0" applyFont="1" applyFill="1" applyBorder="1" applyAlignment="1">
      <alignment horizontal="left"/>
    </xf>
    <xf numFmtId="0" fontId="5" fillId="4" borderId="20" xfId="0" applyFont="1" applyFill="1" applyBorder="1" applyAlignment="1">
      <alignment horizontal="left"/>
    </xf>
    <xf numFmtId="0" fontId="5" fillId="4" borderId="16" xfId="0" applyFont="1" applyFill="1" applyBorder="1" applyAlignment="1">
      <alignment horizontal="left"/>
    </xf>
    <xf numFmtId="0" fontId="5" fillId="4" borderId="21" xfId="0" applyFont="1" applyFill="1" applyBorder="1" applyAlignment="1">
      <alignment horizontal="left"/>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166" fontId="1" fillId="2" borderId="27" xfId="0" applyNumberFormat="1" applyFont="1" applyFill="1" applyBorder="1" applyAlignment="1">
      <alignment horizontal="center" vertical="center"/>
    </xf>
    <xf numFmtId="0" fontId="1" fillId="2" borderId="28" xfId="0" applyFont="1" applyFill="1" applyBorder="1" applyAlignment="1">
      <alignment horizontal="center" vertical="center"/>
    </xf>
    <xf numFmtId="164" fontId="13" fillId="7" borderId="0" xfId="0" applyNumberFormat="1" applyFont="1" applyFill="1" applyAlignment="1">
      <alignment horizontal="center" vertical="center"/>
    </xf>
    <xf numFmtId="0" fontId="13" fillId="7" borderId="0" xfId="0" applyFont="1" applyFill="1" applyAlignment="1">
      <alignment horizontal="center" vertical="center"/>
    </xf>
    <xf numFmtId="0" fontId="7" fillId="6" borderId="37" xfId="0" applyFont="1" applyFill="1" applyBorder="1" applyAlignment="1">
      <alignment horizontal="center" wrapText="1"/>
    </xf>
    <xf numFmtId="0" fontId="7" fillId="6" borderId="38" xfId="0" applyFont="1" applyFill="1" applyBorder="1" applyAlignment="1">
      <alignment horizontal="center" wrapText="1"/>
    </xf>
    <xf numFmtId="0" fontId="7" fillId="6" borderId="39" xfId="0" applyFont="1" applyFill="1" applyBorder="1" applyAlignment="1">
      <alignment horizontal="center" wrapText="1"/>
    </xf>
    <xf numFmtId="0" fontId="7" fillId="6" borderId="40" xfId="0" applyFont="1" applyFill="1" applyBorder="1" applyAlignment="1">
      <alignment horizontal="center" wrapText="1"/>
    </xf>
    <xf numFmtId="0" fontId="7" fillId="6" borderId="35" xfId="0" applyFont="1" applyFill="1" applyBorder="1" applyAlignment="1">
      <alignment horizontal="center" wrapText="1"/>
    </xf>
    <xf numFmtId="0" fontId="7" fillId="6" borderId="41" xfId="0" applyFont="1" applyFill="1" applyBorder="1" applyAlignment="1">
      <alignment horizontal="center" wrapText="1"/>
    </xf>
    <xf numFmtId="166" fontId="0" fillId="0" borderId="0" xfId="0" applyNumberFormat="1" applyAlignment="1">
      <alignment horizontal="center"/>
    </xf>
  </cellXfs>
  <cellStyles count="2">
    <cellStyle name="Comma" xfId="1" builtinId="3"/>
    <cellStyle name="Normal" xfId="0" builtinId="0"/>
  </cellStyles>
  <dxfs count="38">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5" formatCode="#,##0_);\(#,##0\)"/>
    </dxf>
    <dxf>
      <numFmt numFmtId="5" formatCode="#,##0_);\(#,##0\)"/>
    </dxf>
    <dxf>
      <numFmt numFmtId="5" formatCode="#,##0_);\(#,##0\)"/>
    </dxf>
    <dxf>
      <numFmt numFmtId="166" formatCode="[$PKR]\ #,##0_);\([$PKR]\ #,##0\)"/>
    </dxf>
    <dxf>
      <numFmt numFmtId="166" formatCode="[$PKR]\ #,##0_);\([$PKR]\ #,##0\)"/>
    </dxf>
    <dxf>
      <fill>
        <patternFill patternType="none">
          <fgColor indexed="64"/>
          <bgColor auto="1"/>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166" formatCode="[$PKR]\ #,##0_);\([$PKR]\ #,##0\)"/>
      <fill>
        <patternFill patternType="solid">
          <fgColor indexed="64"/>
          <bgColor theme="6" tint="0.39997558519241921"/>
        </patternFill>
      </fill>
      <border diagonalUp="0" diagonalDown="0" outline="0">
        <left style="thick">
          <color theme="0"/>
        </left>
        <right/>
        <top style="thick">
          <color theme="0"/>
        </top>
        <bottom style="thick">
          <color theme="0"/>
        </bottom>
      </border>
    </dxf>
    <dxf>
      <font>
        <b val="0"/>
        <i val="0"/>
        <strike val="0"/>
        <condense val="0"/>
        <extend val="0"/>
        <outline val="0"/>
        <shadow val="0"/>
        <u val="none"/>
        <vertAlign val="baseline"/>
        <sz val="11"/>
        <color theme="1"/>
        <name val="Calibri"/>
        <family val="2"/>
        <scheme val="minor"/>
      </font>
      <numFmt numFmtId="166" formatCode="[$PKR]\ #,##0_);\([$PKR]\ #,##0\)"/>
      <fill>
        <patternFill patternType="solid">
          <fgColor indexed="64"/>
          <bgColor theme="6" tint="0.39997558519241921"/>
        </patternFill>
      </fill>
      <border diagonalUp="0" diagonalDown="0" outline="0">
        <left style="thick">
          <color theme="0"/>
        </left>
        <right style="thick">
          <color theme="0"/>
        </right>
        <top style="thick">
          <color theme="0"/>
        </top>
        <bottom style="thick">
          <color theme="0"/>
        </bottom>
      </border>
    </dxf>
    <dxf>
      <fill>
        <patternFill patternType="solid">
          <fgColor indexed="64"/>
          <bgColor theme="6" tint="0.59999389629810485"/>
        </patternFill>
      </fill>
      <border diagonalUp="0" diagonalDown="0" outline="0">
        <left style="thick">
          <color theme="0"/>
        </left>
        <right style="thick">
          <color theme="0"/>
        </right>
        <top style="thick">
          <color theme="0"/>
        </top>
        <bottom style="thick">
          <color theme="0"/>
        </bottom>
      </border>
    </dxf>
    <dxf>
      <numFmt numFmtId="164" formatCode="[$-409]d\-mmm\-yyyy;@"/>
      <fill>
        <patternFill patternType="solid">
          <fgColor indexed="64"/>
          <bgColor theme="6" tint="0.59999389629810485"/>
        </patternFill>
      </fill>
      <border diagonalUp="0" diagonalDown="0">
        <left style="thick">
          <color theme="0"/>
        </left>
        <right style="thick">
          <color theme="0"/>
        </right>
        <top style="thick">
          <color theme="0"/>
        </top>
        <bottom style="thick">
          <color theme="0"/>
        </bottom>
        <vertical/>
        <horizontal/>
      </border>
    </dxf>
    <dxf>
      <border outline="0">
        <left style="thick">
          <color theme="0"/>
        </left>
      </border>
    </dxf>
    <dxf>
      <font>
        <b val="0"/>
        <i val="0"/>
        <strike val="0"/>
        <condense val="0"/>
        <extend val="0"/>
        <outline val="0"/>
        <shadow val="0"/>
        <u val="none"/>
        <vertAlign val="baseline"/>
        <sz val="11"/>
        <color theme="1"/>
        <name val="Calibri"/>
        <family val="2"/>
        <scheme val="minor"/>
      </font>
      <numFmt numFmtId="165" formatCode="[$PKR]\ #,##0"/>
      <fill>
        <patternFill patternType="solid">
          <fgColor indexed="64"/>
          <bgColor theme="6" tint="0.39997558519241921"/>
        </patternFill>
      </fill>
      <border diagonalUp="0" diagonalDown="0" outline="0">
        <left style="thick">
          <color theme="0"/>
        </left>
        <right style="thick">
          <color theme="0"/>
        </right>
        <top style="thick">
          <color theme="0"/>
        </top>
        <bottom style="thick">
          <color theme="0"/>
        </bottom>
      </border>
    </dxf>
    <dxf>
      <font>
        <b val="0"/>
        <i val="0"/>
        <strike val="0"/>
        <condense val="0"/>
        <extend val="0"/>
        <outline val="0"/>
        <shadow val="0"/>
        <u val="none"/>
        <vertAlign val="baseline"/>
        <sz val="11"/>
        <color theme="1"/>
        <name val="Calibri"/>
        <family val="2"/>
        <scheme val="minor"/>
      </font>
      <numFmt numFmtId="165" formatCode="[$PKR]\ #,##0"/>
      <fill>
        <patternFill patternType="solid">
          <fgColor indexed="64"/>
          <bgColor theme="6" tint="0.39997558519241921"/>
        </patternFill>
      </fill>
      <border diagonalUp="0" diagonalDown="0" outline="0">
        <left style="thick">
          <color theme="0"/>
        </left>
        <right style="thick">
          <color theme="0"/>
        </right>
        <top style="thick">
          <color theme="0"/>
        </top>
        <bottom style="thick">
          <color theme="0"/>
        </bottom>
      </border>
    </dxf>
    <dxf>
      <fill>
        <patternFill patternType="solid">
          <fgColor indexed="64"/>
          <bgColor theme="6" tint="0.59999389629810485"/>
        </patternFill>
      </fill>
      <border diagonalUp="0" diagonalDown="0" outline="0">
        <left style="thick">
          <color theme="0"/>
        </left>
        <right style="thick">
          <color theme="0"/>
        </right>
        <top style="thick">
          <color theme="0"/>
        </top>
        <bottom style="thick">
          <color theme="0"/>
        </bottom>
      </border>
    </dxf>
    <dxf>
      <numFmt numFmtId="164" formatCode="[$-409]d\-mmm\-yyyy;@"/>
      <fill>
        <patternFill patternType="solid">
          <fgColor indexed="64"/>
          <bgColor theme="6" tint="0.59999389629810485"/>
        </patternFill>
      </fill>
      <border diagonalUp="0" diagonalDown="0">
        <left/>
        <right style="thick">
          <color theme="0"/>
        </right>
        <top style="thick">
          <color theme="0"/>
        </top>
        <bottom style="thick">
          <color theme="0"/>
        </bottom>
        <vertical/>
        <horizontal/>
      </border>
    </dxf>
    <dxf>
      <border outline="0">
        <left style="thick">
          <color theme="0"/>
        </left>
        <right style="thick">
          <color theme="0"/>
        </right>
      </border>
    </dxf>
    <dxf>
      <font>
        <b val="0"/>
        <i val="0"/>
        <strike val="0"/>
        <condense val="0"/>
        <extend val="0"/>
        <outline val="0"/>
        <shadow val="0"/>
        <u val="none"/>
        <vertAlign val="baseline"/>
        <sz val="11"/>
        <color theme="0"/>
        <name val="Calibri"/>
        <family val="2"/>
        <scheme val="minor"/>
      </font>
      <fill>
        <patternFill patternType="solid">
          <fgColor indexed="64"/>
          <bgColor theme="6" tint="-0.249977111117893"/>
        </patternFill>
      </fill>
      <alignment horizontal="center" vertical="center" textRotation="0" wrapText="0" indent="0" justifyLastLine="0" shrinkToFit="0" readingOrder="0"/>
      <border diagonalUp="0" diagonalDown="0" outline="0">
        <left style="thick">
          <color theme="0"/>
        </left>
        <right style="thick">
          <color theme="0"/>
        </right>
        <top/>
        <bottom/>
      </border>
    </dxf>
    <dxf>
      <fill>
        <patternFill patternType="none">
          <fgColor indexed="64"/>
          <bgColor auto="1"/>
        </patternFill>
      </fill>
    </dxf>
    <dxf>
      <numFmt numFmtId="164" formatCode="[$-409]d\-m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409]d\-m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713771</xdr:colOff>
      <xdr:row>0</xdr:row>
      <xdr:rowOff>115747</xdr:rowOff>
    </xdr:from>
    <xdr:to>
      <xdr:col>2</xdr:col>
      <xdr:colOff>2565721</xdr:colOff>
      <xdr:row>8</xdr:row>
      <xdr:rowOff>9645</xdr:rowOff>
    </xdr:to>
    <xdr:sp macro="" textlink="">
      <xdr:nvSpPr>
        <xdr:cNvPr id="6" name="TextBox 5">
          <a:extLst>
            <a:ext uri="{FF2B5EF4-FFF2-40B4-BE49-F238E27FC236}">
              <a16:creationId xmlns:a16="http://schemas.microsoft.com/office/drawing/2014/main" id="{87DC3B8B-5529-E89C-95C0-02F9EC3BE69D}"/>
            </a:ext>
          </a:extLst>
        </xdr:cNvPr>
        <xdr:cNvSpPr txBox="1"/>
      </xdr:nvSpPr>
      <xdr:spPr>
        <a:xfrm>
          <a:off x="1977341" y="115747"/>
          <a:ext cx="4244051" cy="136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                  WS COMPANY</a:t>
          </a:r>
        </a:p>
        <a:p>
          <a:r>
            <a:rPr lang="en-US" sz="2400" b="1">
              <a:solidFill>
                <a:schemeClr val="dk1"/>
              </a:solidFill>
              <a:effectLst/>
              <a:latin typeface="+mn-lt"/>
              <a:ea typeface="+mn-ea"/>
              <a:cs typeface="+mn-cs"/>
            </a:rPr>
            <a:t>           GENERAL</a:t>
          </a:r>
          <a:r>
            <a:rPr lang="en-US" sz="2400" b="1" baseline="0">
              <a:solidFill>
                <a:schemeClr val="dk1"/>
              </a:solidFill>
              <a:effectLst/>
              <a:latin typeface="+mn-lt"/>
              <a:ea typeface="+mn-ea"/>
              <a:cs typeface="+mn-cs"/>
            </a:rPr>
            <a:t> JOURNAL DATA</a:t>
          </a:r>
          <a:endParaRPr lang="en-US" sz="2400" b="1">
            <a:effectLst/>
          </a:endParaRPr>
        </a:p>
        <a:p>
          <a:r>
            <a:rPr lang="en-US" sz="2400" b="1"/>
            <a:t>            MONTH OF MARCH</a:t>
          </a:r>
          <a:r>
            <a:rPr lang="en-US" sz="2400" b="1" baseline="0"/>
            <a:t> 2026</a:t>
          </a:r>
        </a:p>
        <a:p>
          <a:endParaRPr lang="en-US" sz="14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569204</xdr:colOff>
      <xdr:row>0</xdr:row>
      <xdr:rowOff>82627</xdr:rowOff>
    </xdr:from>
    <xdr:to>
      <xdr:col>4</xdr:col>
      <xdr:colOff>541662</xdr:colOff>
      <xdr:row>7</xdr:row>
      <xdr:rowOff>55085</xdr:rowOff>
    </xdr:to>
    <xdr:sp macro="" textlink="">
      <xdr:nvSpPr>
        <xdr:cNvPr id="2" name="TextBox 1">
          <a:extLst>
            <a:ext uri="{FF2B5EF4-FFF2-40B4-BE49-F238E27FC236}">
              <a16:creationId xmlns:a16="http://schemas.microsoft.com/office/drawing/2014/main" id="{90BF7C18-2A9D-C3EC-9035-AEAFC83C13F7}"/>
            </a:ext>
          </a:extLst>
        </xdr:cNvPr>
        <xdr:cNvSpPr txBox="1"/>
      </xdr:nvSpPr>
      <xdr:spPr>
        <a:xfrm>
          <a:off x="1175132" y="82627"/>
          <a:ext cx="4415928" cy="12577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WS COMPANY</a:t>
          </a:r>
        </a:p>
        <a:p>
          <a:pPr algn="ctr"/>
          <a:r>
            <a:rPr lang="en-US" sz="2400" b="1"/>
            <a:t>GENERAL LEDGER</a:t>
          </a:r>
        </a:p>
        <a:p>
          <a:pPr algn="ctr"/>
          <a:r>
            <a:rPr lang="en-US" sz="2400" b="1"/>
            <a:t>MONTH OFMARCH 2026</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97173</xdr:colOff>
      <xdr:row>7</xdr:row>
      <xdr:rowOff>174075</xdr:rowOff>
    </xdr:from>
    <xdr:to>
      <xdr:col>8</xdr:col>
      <xdr:colOff>97173</xdr:colOff>
      <xdr:row>18</xdr:row>
      <xdr:rowOff>127177</xdr:rowOff>
    </xdr:to>
    <mc:AlternateContent xmlns:mc="http://schemas.openxmlformats.org/markup-compatibility/2006" xmlns:a14="http://schemas.microsoft.com/office/drawing/2010/main">
      <mc:Choice Requires="a14">
        <xdr:graphicFrame macro="">
          <xdr:nvGraphicFramePr>
            <xdr:cNvPr id="2" name="ACCOUNT ">
              <a:extLst>
                <a:ext uri="{FF2B5EF4-FFF2-40B4-BE49-F238E27FC236}">
                  <a16:creationId xmlns:a16="http://schemas.microsoft.com/office/drawing/2014/main" id="{F5FB8A84-4BD5-26CC-91CB-6149ED775132}"/>
                </a:ext>
              </a:extLst>
            </xdr:cNvPr>
            <xdr:cNvGraphicFramePr/>
          </xdr:nvGraphicFramePr>
          <xdr:xfrm>
            <a:off x="0" y="0"/>
            <a:ext cx="0" cy="0"/>
          </xdr:xfrm>
          <a:graphic>
            <a:graphicData uri="http://schemas.microsoft.com/office/drawing/2010/slicer">
              <sle:slicer xmlns:sle="http://schemas.microsoft.com/office/drawing/2010/slicer" name="ACCOUNT "/>
            </a:graphicData>
          </a:graphic>
        </xdr:graphicFrame>
      </mc:Choice>
      <mc:Fallback xmlns="">
        <xdr:sp macro="" textlink="">
          <xdr:nvSpPr>
            <xdr:cNvPr id="0" name=""/>
            <xdr:cNvSpPr>
              <a:spLocks noTextEdit="1"/>
            </xdr:cNvSpPr>
          </xdr:nvSpPr>
          <xdr:spPr>
            <a:xfrm>
              <a:off x="6219449" y="1461592"/>
              <a:ext cx="1832741" cy="1976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960120</xdr:colOff>
      <xdr:row>0</xdr:row>
      <xdr:rowOff>121920</xdr:rowOff>
    </xdr:from>
    <xdr:to>
      <xdr:col>5</xdr:col>
      <xdr:colOff>533400</xdr:colOff>
      <xdr:row>7</xdr:row>
      <xdr:rowOff>83820</xdr:rowOff>
    </xdr:to>
    <xdr:sp macro="" textlink="">
      <xdr:nvSpPr>
        <xdr:cNvPr id="3" name="TextBox 2">
          <a:extLst>
            <a:ext uri="{FF2B5EF4-FFF2-40B4-BE49-F238E27FC236}">
              <a16:creationId xmlns:a16="http://schemas.microsoft.com/office/drawing/2014/main" id="{6E2EAC49-05C6-7ABE-B58C-16D0F7DD762E}"/>
            </a:ext>
          </a:extLst>
        </xdr:cNvPr>
        <xdr:cNvSpPr txBox="1"/>
      </xdr:nvSpPr>
      <xdr:spPr>
        <a:xfrm>
          <a:off x="1569720" y="121920"/>
          <a:ext cx="4632960" cy="12420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WS</a:t>
          </a:r>
          <a:r>
            <a:rPr lang="en-US" sz="2400" b="1" baseline="0"/>
            <a:t> COMPANY </a:t>
          </a:r>
        </a:p>
        <a:p>
          <a:pPr algn="ctr"/>
          <a:r>
            <a:rPr lang="en-US" sz="2400" b="1" baseline="0"/>
            <a:t>TRIAL BALANCE </a:t>
          </a:r>
        </a:p>
        <a:p>
          <a:pPr algn="ctr"/>
          <a:r>
            <a:rPr lang="en-US" sz="2400" b="1" baseline="0"/>
            <a:t>MONTH OF MARCH 2026</a:t>
          </a:r>
          <a:endParaRPr lang="en-US" sz="24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228600</xdr:colOff>
      <xdr:row>0</xdr:row>
      <xdr:rowOff>59267</xdr:rowOff>
    </xdr:from>
    <xdr:to>
      <xdr:col>6</xdr:col>
      <xdr:colOff>305029</xdr:colOff>
      <xdr:row>7</xdr:row>
      <xdr:rowOff>162239</xdr:rowOff>
    </xdr:to>
    <xdr:sp macro="" textlink="">
      <xdr:nvSpPr>
        <xdr:cNvPr id="2" name="TextBox 1">
          <a:extLst>
            <a:ext uri="{FF2B5EF4-FFF2-40B4-BE49-F238E27FC236}">
              <a16:creationId xmlns:a16="http://schemas.microsoft.com/office/drawing/2014/main" id="{2E7E8E3A-9FF0-0285-56E9-3C1555B6D4AF}"/>
            </a:ext>
          </a:extLst>
        </xdr:cNvPr>
        <xdr:cNvSpPr txBox="1"/>
      </xdr:nvSpPr>
      <xdr:spPr>
        <a:xfrm>
          <a:off x="838200" y="59267"/>
          <a:ext cx="4140429" cy="14068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800" b="1"/>
            <a:t>WS COMPANY</a:t>
          </a:r>
          <a:r>
            <a:rPr lang="en-US" sz="1800" b="1" baseline="0"/>
            <a:t> </a:t>
          </a:r>
        </a:p>
        <a:p>
          <a:pPr algn="ctr"/>
          <a:r>
            <a:rPr lang="en-US" sz="1800" b="1" baseline="0"/>
            <a:t>INCOME STATEMENT</a:t>
          </a:r>
        </a:p>
        <a:p>
          <a:pPr algn="ctr"/>
          <a:r>
            <a:rPr lang="en-US" sz="1800" b="1" baseline="0"/>
            <a:t>FOR THE MONTH ENDED 31-MARCH-2026</a:t>
          </a:r>
        </a:p>
        <a:p>
          <a:pPr algn="ctr"/>
          <a:endParaRPr lang="en-US" sz="18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456593</xdr:colOff>
      <xdr:row>1</xdr:row>
      <xdr:rowOff>18142</xdr:rowOff>
    </xdr:from>
    <xdr:to>
      <xdr:col>3</xdr:col>
      <xdr:colOff>411237</xdr:colOff>
      <xdr:row>7</xdr:row>
      <xdr:rowOff>156230</xdr:rowOff>
    </xdr:to>
    <xdr:sp macro="" textlink="">
      <xdr:nvSpPr>
        <xdr:cNvPr id="3" name="TextBox 2">
          <a:extLst>
            <a:ext uri="{FF2B5EF4-FFF2-40B4-BE49-F238E27FC236}">
              <a16:creationId xmlns:a16="http://schemas.microsoft.com/office/drawing/2014/main" id="{C0962CEA-15D7-515D-D898-AD886C087DC9}"/>
            </a:ext>
          </a:extLst>
        </xdr:cNvPr>
        <xdr:cNvSpPr txBox="1"/>
      </xdr:nvSpPr>
      <xdr:spPr>
        <a:xfrm>
          <a:off x="1063371" y="201586"/>
          <a:ext cx="3842255" cy="12387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n>
                <a:noFill/>
              </a:ln>
            </a:rPr>
            <a:t>WS COMPANY </a:t>
          </a:r>
        </a:p>
        <a:p>
          <a:pPr algn="ctr"/>
          <a:r>
            <a:rPr lang="en-US" sz="1800" b="1">
              <a:ln>
                <a:noFill/>
              </a:ln>
            </a:rPr>
            <a:t>BALANCE SHEET </a:t>
          </a:r>
        </a:p>
        <a:p>
          <a:pPr algn="ctr"/>
          <a:r>
            <a:rPr lang="en-US" sz="1800" b="1">
              <a:ln>
                <a:noFill/>
              </a:ln>
            </a:rPr>
            <a:t>AS AT 31-MARCH</a:t>
          </a:r>
          <a:r>
            <a:rPr lang="en-US" sz="1800" b="1" baseline="0">
              <a:ln>
                <a:noFill/>
              </a:ln>
            </a:rPr>
            <a:t>-2026</a:t>
          </a:r>
        </a:p>
        <a:p>
          <a:pPr algn="ctr"/>
          <a:endParaRPr lang="en-US" sz="1800" b="1">
            <a:ln>
              <a:noFill/>
            </a:ln>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nar" refreshedDate="46321.700032986111" createdVersion="8" refreshedVersion="8" minRefreshableVersion="3" recordCount="64" xr:uid="{290E07E9-5BC5-46DD-A332-FE0C776CF121}">
  <cacheSource type="worksheet">
    <worksheetSource name="Table6"/>
  </cacheSource>
  <cacheFields count="8">
    <cacheField name="DATE " numFmtId="164">
      <sharedItems containsNonDate="0" containsDate="1" containsString="0" containsBlank="1" minDate="2026-03-01T00:00:00" maxDate="2026-04-01T00:00:00"/>
    </cacheField>
    <cacheField name="DESCRIPTION" numFmtId="0">
      <sharedItems containsBlank="1" count="29">
        <s v="Owner introduced capital"/>
        <s v="Paid shop rent"/>
        <s v="Purchased goods from Ahmed Traders"/>
        <s v="Cash sales"/>
        <s v="Goods sold to Bilal Stores"/>
        <s v="Paid electricity bill"/>
        <s v="Purchased office furniture"/>
        <s v="Received from Bilal Stores"/>
        <s v="Purchased goods"/>
        <s v="Freight inward paid"/>
        <s v="Returned goods to Ahmed Traders"/>
        <s v="Sales to Sana Mart on Credit"/>
        <s v="Received from Sana Mart "/>
        <s v="Paid salaries"/>
        <s v="Shop supplies purchased"/>
        <s v="Paid Ahmed Traders"/>
        <s v="Credit sales to a customer"/>
        <s v="Customer returned goods"/>
        <s v="Water bill paid"/>
        <s v="Purchased goods from Noor Wholesalers"/>
        <s v="Advertising paid"/>
        <s v="Received from Sana Mart"/>
        <s v="Owner withdrew for personal use"/>
        <s v="Telephone and internet paid"/>
        <s v="Paid Noor Wholesalers"/>
        <s v="Customer paid by bank transfer"/>
        <s v="Paid delivery expense"/>
        <s v="Depreciation on furniture for the month"/>
        <m u="1"/>
      </sharedItems>
    </cacheField>
    <cacheField name="ACCOUNT " numFmtId="0">
      <sharedItems count="25">
        <s v="CASH"/>
        <s v="CAPITAL"/>
        <s v="RENT "/>
        <s v="INVENTORY"/>
        <s v="SALES"/>
        <s v="BILAL STORES"/>
        <s v="ELECTRICITY "/>
        <s v="OFFICE FURNITURE"/>
        <s v="BANK"/>
        <s v="FRIEGHT "/>
        <s v="AHMED TRADERS"/>
        <s v="INVENTORY RETURN"/>
        <s v="SANA MART"/>
        <s v="SALARIES"/>
        <s v="SUPPLIES"/>
        <s v="ACCOUNTS RECEIVABLE"/>
        <s v="SALES RETURN"/>
        <s v="WATER"/>
        <s v="NOOR WHOLESALERS"/>
        <s v="ADVERTISMENT"/>
        <s v="TELEPHONE AND INTERNET"/>
        <s v="DELIVERY"/>
        <s v="DEPRECIATION "/>
        <s v="ALLOWNCE FOR DEPRECIATION - FURNITURE"/>
        <s v="TELEPHONEAND INTERNET" u="1"/>
      </sharedItems>
    </cacheField>
    <cacheField name="DEBIT" numFmtId="0">
      <sharedItems containsString="0" containsBlank="1" containsNumber="1" containsInteger="1" minValue="1500" maxValue="550000"/>
    </cacheField>
    <cacheField name="CREDIT" numFmtId="0">
      <sharedItems containsString="0" containsBlank="1" containsNumber="1" containsInteger="1" minValue="1500" maxValue="550000"/>
    </cacheField>
    <cacheField name="REFRENCE ID" numFmtId="0">
      <sharedItems containsBlank="1"/>
    </cacheField>
    <cacheField name="BALANCE" numFmtId="0" formula="DEBIT-CREDIT" databaseField="0"/>
    <cacheField name="Field1" numFmtId="0" formula=" 0" databaseField="0"/>
  </cacheFields>
  <extLst>
    <ext xmlns:x14="http://schemas.microsoft.com/office/spreadsheetml/2009/9/main" uri="{725AE2AE-9491-48be-B2B4-4EB974FC3084}">
      <x14:pivotCacheDefinition pivotCacheId="1389673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d v="2026-03-01T00:00:00"/>
    <x v="0"/>
    <x v="0"/>
    <n v="550000"/>
    <m/>
    <m/>
  </r>
  <r>
    <m/>
    <x v="0"/>
    <x v="1"/>
    <m/>
    <n v="550000"/>
    <m/>
  </r>
  <r>
    <d v="2026-03-01T00:00:00"/>
    <x v="1"/>
    <x v="2"/>
    <n v="40000"/>
    <m/>
    <m/>
  </r>
  <r>
    <m/>
    <x v="1"/>
    <x v="0"/>
    <m/>
    <n v="40000"/>
    <m/>
  </r>
  <r>
    <d v="2026-03-02T00:00:00"/>
    <x v="2"/>
    <x v="3"/>
    <n v="85000"/>
    <m/>
    <m/>
  </r>
  <r>
    <m/>
    <x v="2"/>
    <x v="0"/>
    <m/>
    <n v="85000"/>
    <m/>
  </r>
  <r>
    <d v="2026-03-03T00:00:00"/>
    <x v="3"/>
    <x v="0"/>
    <n v="32000"/>
    <m/>
    <m/>
  </r>
  <r>
    <m/>
    <x v="3"/>
    <x v="4"/>
    <m/>
    <n v="32000"/>
    <m/>
  </r>
  <r>
    <d v="2026-03-04T00:00:00"/>
    <x v="4"/>
    <x v="5"/>
    <n v="60000"/>
    <m/>
    <m/>
  </r>
  <r>
    <m/>
    <x v="4"/>
    <x v="4"/>
    <m/>
    <n v="60000"/>
    <m/>
  </r>
  <r>
    <d v="2026-03-05T00:00:00"/>
    <x v="5"/>
    <x v="6"/>
    <n v="12500"/>
    <m/>
    <s v="Bank cheque CHQ-101"/>
  </r>
  <r>
    <m/>
    <x v="5"/>
    <x v="0"/>
    <m/>
    <n v="12500"/>
    <m/>
  </r>
  <r>
    <d v="2026-03-06T00:00:00"/>
    <x v="6"/>
    <x v="7"/>
    <n v="55000"/>
    <m/>
    <m/>
  </r>
  <r>
    <m/>
    <x v="6"/>
    <x v="0"/>
    <m/>
    <n v="55000"/>
    <m/>
  </r>
  <r>
    <d v="2026-03-07T00:00:00"/>
    <x v="7"/>
    <x v="8"/>
    <n v="25000"/>
    <m/>
    <m/>
  </r>
  <r>
    <m/>
    <x v="7"/>
    <x v="5"/>
    <m/>
    <n v="25000"/>
    <m/>
  </r>
  <r>
    <d v="2026-03-08T00:00:00"/>
    <x v="8"/>
    <x v="3"/>
    <n v="42000"/>
    <m/>
    <m/>
  </r>
  <r>
    <m/>
    <x v="8"/>
    <x v="0"/>
    <m/>
    <n v="42000"/>
    <m/>
  </r>
  <r>
    <d v="2026-03-09T00:00:00"/>
    <x v="9"/>
    <x v="9"/>
    <n v="4500"/>
    <m/>
    <m/>
  </r>
  <r>
    <m/>
    <x v="9"/>
    <x v="0"/>
    <m/>
    <n v="4500"/>
    <m/>
  </r>
  <r>
    <d v="2026-03-10T00:00:00"/>
    <x v="10"/>
    <x v="10"/>
    <n v="5000"/>
    <m/>
    <m/>
  </r>
  <r>
    <m/>
    <x v="10"/>
    <x v="11"/>
    <m/>
    <n v="5000"/>
    <m/>
  </r>
  <r>
    <d v="2026-03-11T00:00:00"/>
    <x v="11"/>
    <x v="12"/>
    <n v="48000"/>
    <m/>
    <m/>
  </r>
  <r>
    <m/>
    <x v="11"/>
    <x v="4"/>
    <m/>
    <n v="48000"/>
    <m/>
  </r>
  <r>
    <d v="2026-03-12T00:00:00"/>
    <x v="12"/>
    <x v="8"/>
    <n v="18000"/>
    <m/>
    <s v="Bank deposit DEP-202"/>
  </r>
  <r>
    <m/>
    <x v="12"/>
    <x v="12"/>
    <m/>
    <n v="18000"/>
    <m/>
  </r>
  <r>
    <d v="2026-03-13T00:00:00"/>
    <x v="13"/>
    <x v="13"/>
    <n v="30000"/>
    <m/>
    <m/>
  </r>
  <r>
    <m/>
    <x v="13"/>
    <x v="0"/>
    <m/>
    <n v="30000"/>
    <m/>
  </r>
  <r>
    <d v="2026-03-14T00:00:00"/>
    <x v="14"/>
    <x v="14"/>
    <n v="6800"/>
    <m/>
    <m/>
  </r>
  <r>
    <m/>
    <x v="14"/>
    <x v="0"/>
    <m/>
    <n v="6800"/>
    <m/>
  </r>
  <r>
    <d v="2026-03-15T00:00:00"/>
    <x v="15"/>
    <x v="10"/>
    <n v="20000"/>
    <m/>
    <m/>
  </r>
  <r>
    <m/>
    <x v="15"/>
    <x v="0"/>
    <m/>
    <n v="20000"/>
    <m/>
  </r>
  <r>
    <d v="2026-03-16T00:00:00"/>
    <x v="16"/>
    <x v="15"/>
    <n v="275000"/>
    <m/>
    <m/>
  </r>
  <r>
    <m/>
    <x v="16"/>
    <x v="4"/>
    <m/>
    <n v="275000"/>
    <m/>
  </r>
  <r>
    <d v="2026-03-17T00:00:00"/>
    <x v="17"/>
    <x v="16"/>
    <n v="3000"/>
    <m/>
    <m/>
  </r>
  <r>
    <m/>
    <x v="17"/>
    <x v="0"/>
    <m/>
    <n v="3000"/>
    <m/>
  </r>
  <r>
    <d v="2026-03-18T00:00:00"/>
    <x v="7"/>
    <x v="8"/>
    <n v="24000"/>
    <m/>
    <s v="Bank deposit DEP-203"/>
  </r>
  <r>
    <m/>
    <x v="7"/>
    <x v="5"/>
    <m/>
    <n v="24000"/>
    <m/>
  </r>
  <r>
    <d v="2026-03-19T00:00:00"/>
    <x v="18"/>
    <x v="17"/>
    <n v="3200"/>
    <m/>
    <m/>
  </r>
  <r>
    <m/>
    <x v="18"/>
    <x v="0"/>
    <m/>
    <n v="3200"/>
    <m/>
  </r>
  <r>
    <d v="2026-03-20T00:00:00"/>
    <x v="19"/>
    <x v="3"/>
    <n v="70000"/>
    <m/>
    <m/>
  </r>
  <r>
    <m/>
    <x v="19"/>
    <x v="18"/>
    <m/>
    <n v="70000"/>
    <m/>
  </r>
  <r>
    <d v="2026-03-21T00:00:00"/>
    <x v="20"/>
    <x v="19"/>
    <n v="9000"/>
    <m/>
    <s v="Bank cheque CHQ-104"/>
  </r>
  <r>
    <m/>
    <x v="20"/>
    <x v="8"/>
    <m/>
    <n v="9000"/>
    <m/>
  </r>
  <r>
    <d v="2026-03-22T00:00:00"/>
    <x v="21"/>
    <x v="8"/>
    <n v="12000"/>
    <m/>
    <s v="Bank deposit DEP-204"/>
  </r>
  <r>
    <m/>
    <x v="21"/>
    <x v="12"/>
    <m/>
    <n v="12000"/>
    <m/>
  </r>
  <r>
    <d v="2026-03-23T00:00:00"/>
    <x v="22"/>
    <x v="1"/>
    <n v="10000"/>
    <m/>
    <m/>
  </r>
  <r>
    <m/>
    <x v="22"/>
    <x v="0"/>
    <m/>
    <n v="10000"/>
    <m/>
  </r>
  <r>
    <d v="2026-03-24T00:00:00"/>
    <x v="23"/>
    <x v="20"/>
    <n v="5500"/>
    <m/>
    <m/>
  </r>
  <r>
    <m/>
    <x v="23"/>
    <x v="0"/>
    <m/>
    <n v="5500"/>
    <m/>
  </r>
  <r>
    <d v="2026-03-25T00:00:00"/>
    <x v="24"/>
    <x v="18"/>
    <n v="15000"/>
    <m/>
    <s v="Bank cheque CHQ-105"/>
  </r>
  <r>
    <m/>
    <x v="24"/>
    <x v="0"/>
    <m/>
    <n v="15000"/>
    <m/>
  </r>
  <r>
    <d v="2026-03-26T00:00:00"/>
    <x v="3"/>
    <x v="0"/>
    <n v="365000"/>
    <m/>
    <m/>
  </r>
  <r>
    <m/>
    <x v="3"/>
    <x v="4"/>
    <m/>
    <n v="365000"/>
    <m/>
  </r>
  <r>
    <d v="2026-03-27T00:00:00"/>
    <x v="25"/>
    <x v="8"/>
    <n v="12000"/>
    <m/>
    <s v="Bank deposit DEP-205"/>
  </r>
  <r>
    <m/>
    <x v="25"/>
    <x v="15"/>
    <m/>
    <n v="12000"/>
    <m/>
  </r>
  <r>
    <d v="2026-03-28T00:00:00"/>
    <x v="26"/>
    <x v="21"/>
    <n v="4000"/>
    <m/>
    <s v="Bank cheque CHQ-106"/>
  </r>
  <r>
    <m/>
    <x v="26"/>
    <x v="8"/>
    <m/>
    <n v="4000"/>
    <m/>
  </r>
  <r>
    <d v="2026-03-29T00:00:00"/>
    <x v="8"/>
    <x v="3"/>
    <n v="28000"/>
    <m/>
    <m/>
  </r>
  <r>
    <m/>
    <x v="8"/>
    <x v="0"/>
    <m/>
    <n v="28000"/>
    <m/>
  </r>
  <r>
    <d v="2026-03-30T00:00:00"/>
    <x v="7"/>
    <x v="8"/>
    <n v="9000"/>
    <m/>
    <s v="Bank deposit DEP-206"/>
  </r>
  <r>
    <m/>
    <x v="7"/>
    <x v="5"/>
    <m/>
    <n v="9000"/>
    <m/>
  </r>
  <r>
    <d v="2026-03-31T00:00:00"/>
    <x v="27"/>
    <x v="22"/>
    <n v="1500"/>
    <m/>
    <m/>
  </r>
  <r>
    <m/>
    <x v="27"/>
    <x v="23"/>
    <m/>
    <n v="15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51027E-FA41-41CD-9DEC-B48EECCCA9B0}" name="PivotTable4"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B9:F34" firstHeaderRow="0" firstDataRow="1" firstDataCol="2"/>
  <pivotFields count="8">
    <pivotField compact="0" outline="0" showAll="0"/>
    <pivotField axis="axisRow" compact="0" outline="0" showAll="0">
      <items count="30">
        <item x="20"/>
        <item x="3"/>
        <item x="25"/>
        <item x="17"/>
        <item x="27"/>
        <item x="9"/>
        <item x="4"/>
        <item x="0"/>
        <item x="22"/>
        <item x="15"/>
        <item x="26"/>
        <item x="5"/>
        <item x="24"/>
        <item x="13"/>
        <item x="1"/>
        <item x="8"/>
        <item x="2"/>
        <item x="19"/>
        <item x="6"/>
        <item x="7"/>
        <item x="21"/>
        <item x="12"/>
        <item x="10"/>
        <item x="11"/>
        <item x="14"/>
        <item x="23"/>
        <item x="18"/>
        <item m="1" x="28"/>
        <item x="16"/>
        <item t="default"/>
      </items>
    </pivotField>
    <pivotField axis="axisRow" compact="0" outline="0" showAll="0" sortType="ascending">
      <items count="26">
        <item sd="0" x="15"/>
        <item sd="0" x="19"/>
        <item sd="0" x="10"/>
        <item sd="0" x="23"/>
        <item sd="0" x="8"/>
        <item sd="0" x="5"/>
        <item sd="0" x="1"/>
        <item sd="0" x="0"/>
        <item sd="0" x="21"/>
        <item sd="0" x="22"/>
        <item sd="0" x="6"/>
        <item sd="0" x="9"/>
        <item sd="0" x="3"/>
        <item sd="0" x="11"/>
        <item sd="0" x="18"/>
        <item sd="0" x="7"/>
        <item sd="0" x="2"/>
        <item sd="0" x="13"/>
        <item sd="0" x="4"/>
        <item sd="0" x="16"/>
        <item sd="0" x="12"/>
        <item sd="0" x="14"/>
        <item sd="0" x="20"/>
        <item sd="0" m="1" x="24"/>
        <item sd="0" x="17"/>
        <item t="default"/>
      </items>
    </pivotField>
    <pivotField dataField="1" compact="0" outline="0" showAll="0"/>
    <pivotField dataField="1" compact="0" outline="0" showAll="0"/>
    <pivotField compact="0" outline="0" showAll="0"/>
    <pivotField dataField="1" compact="0" outline="0" dragToRow="0" dragToCol="0" dragToPage="0" showAll="0" defaultSubtotal="0"/>
    <pivotField compact="0" outline="0" dragToRow="0" dragToCol="0" dragToPage="0" showAll="0" defaultSubtotal="0"/>
  </pivotFields>
  <rowFields count="2">
    <field x="2"/>
    <field x="1"/>
  </rowFields>
  <rowItems count="25">
    <i>
      <x/>
    </i>
    <i>
      <x v="1"/>
    </i>
    <i>
      <x v="2"/>
    </i>
    <i>
      <x v="3"/>
    </i>
    <i>
      <x v="4"/>
    </i>
    <i>
      <x v="5"/>
    </i>
    <i>
      <x v="6"/>
    </i>
    <i>
      <x v="7"/>
    </i>
    <i>
      <x v="8"/>
    </i>
    <i>
      <x v="9"/>
    </i>
    <i>
      <x v="10"/>
    </i>
    <i>
      <x v="11"/>
    </i>
    <i>
      <x v="12"/>
    </i>
    <i>
      <x v="13"/>
    </i>
    <i>
      <x v="14"/>
    </i>
    <i>
      <x v="15"/>
    </i>
    <i>
      <x v="16"/>
    </i>
    <i>
      <x v="17"/>
    </i>
    <i>
      <x v="18"/>
    </i>
    <i>
      <x v="19"/>
    </i>
    <i>
      <x v="20"/>
    </i>
    <i>
      <x v="21"/>
    </i>
    <i>
      <x v="22"/>
    </i>
    <i>
      <x v="24"/>
    </i>
    <i t="grand">
      <x/>
    </i>
  </rowItems>
  <colFields count="1">
    <field x="-2"/>
  </colFields>
  <colItems count="3">
    <i>
      <x/>
    </i>
    <i i="1">
      <x v="1"/>
    </i>
    <i i="2">
      <x v="2"/>
    </i>
  </colItems>
  <dataFields count="3">
    <dataField name="Sum of DEBIT" fld="3" baseField="1" baseItem="27" numFmtId="37"/>
    <dataField name="Sum of CREDIT" fld="4" baseField="1" baseItem="27" numFmtId="37"/>
    <dataField name="Sum of BALANCE" fld="6" baseField="1" baseItem="27" numFmtId="37"/>
  </dataFields>
  <formats count="8">
    <format dxfId="7">
      <pivotArea type="all" dataOnly="0" outline="0" fieldPosition="0"/>
    </format>
    <format dxfId="8">
      <pivotArea outline="0" collapsedLevelsAreSubtotals="1" fieldPosition="0"/>
    </format>
    <format dxfId="9">
      <pivotArea field="2" type="button" dataOnly="0" labelOnly="1" outline="0" axis="axisRow" fieldPosition="0"/>
    </format>
    <format dxfId="10">
      <pivotArea dataOnly="0" labelOnly="1" fieldPosition="0">
        <references count="1">
          <reference field="2" count="0"/>
        </references>
      </pivotArea>
    </format>
    <format dxfId="11">
      <pivotArea dataOnly="0" labelOnly="1" grandRow="1" outline="0" fieldPosition="0"/>
    </format>
    <format dxfId="12">
      <pivotArea outline="0" fieldPosition="0">
        <references count="1">
          <reference field="4294967294" count="1">
            <x v="2"/>
          </reference>
        </references>
      </pivotArea>
    </format>
    <format dxfId="13">
      <pivotArea outline="0" fieldPosition="0">
        <references count="1">
          <reference field="4294967294" count="1">
            <x v="1"/>
          </reference>
        </references>
      </pivotArea>
    </format>
    <format dxfId="14">
      <pivotArea outline="0" fieldPosition="0">
        <references count="1">
          <reference field="4294967294" count="1">
            <x v="0"/>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74AEC8-A188-4856-8FB7-13049C80065C}"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9:D34" firstHeaderRow="0" firstDataRow="1" firstDataCol="1"/>
  <pivotFields count="8">
    <pivotField showAll="0"/>
    <pivotField showAll="0"/>
    <pivotField axis="axisRow" showAll="0">
      <items count="26">
        <item x="15"/>
        <item x="19"/>
        <item x="10"/>
        <item x="23"/>
        <item x="8"/>
        <item x="5"/>
        <item x="1"/>
        <item x="0"/>
        <item x="21"/>
        <item x="22"/>
        <item x="6"/>
        <item x="9"/>
        <item x="3"/>
        <item x="18"/>
        <item x="7"/>
        <item x="2"/>
        <item x="13"/>
        <item x="4"/>
        <item x="16"/>
        <item x="12"/>
        <item x="14"/>
        <item m="1" x="24"/>
        <item x="17"/>
        <item x="11"/>
        <item x="20"/>
        <item t="default"/>
      </items>
    </pivotField>
    <pivotField dataField="1" showAll="0"/>
    <pivotField dataField="1" showAll="0"/>
    <pivotField showAll="0"/>
    <pivotField dragToRow="0" dragToCol="0" dragToPage="0" showAll="0" defaultSubtotal="0"/>
    <pivotField dragToRow="0" dragToCol="0" dragToPage="0" showAll="0" defaultSubtotal="0"/>
  </pivotFields>
  <rowFields count="1">
    <field x="2"/>
  </rowFields>
  <rowItems count="25">
    <i>
      <x/>
    </i>
    <i>
      <x v="1"/>
    </i>
    <i>
      <x v="2"/>
    </i>
    <i>
      <x v="3"/>
    </i>
    <i>
      <x v="4"/>
    </i>
    <i>
      <x v="5"/>
    </i>
    <i>
      <x v="6"/>
    </i>
    <i>
      <x v="7"/>
    </i>
    <i>
      <x v="8"/>
    </i>
    <i>
      <x v="9"/>
    </i>
    <i>
      <x v="10"/>
    </i>
    <i>
      <x v="11"/>
    </i>
    <i>
      <x v="12"/>
    </i>
    <i>
      <x v="13"/>
    </i>
    <i>
      <x v="14"/>
    </i>
    <i>
      <x v="15"/>
    </i>
    <i>
      <x v="16"/>
    </i>
    <i>
      <x v="17"/>
    </i>
    <i>
      <x v="18"/>
    </i>
    <i>
      <x v="19"/>
    </i>
    <i>
      <x v="20"/>
    </i>
    <i>
      <x v="22"/>
    </i>
    <i>
      <x v="23"/>
    </i>
    <i>
      <x v="24"/>
    </i>
    <i t="grand">
      <x/>
    </i>
  </rowItems>
  <colFields count="1">
    <field x="-2"/>
  </colFields>
  <colItems count="2">
    <i>
      <x/>
    </i>
    <i i="1">
      <x v="1"/>
    </i>
  </colItems>
  <dataFields count="2">
    <dataField name="Sum of DEBIT" fld="3" baseField="0" baseItem="0"/>
    <dataField name="Sum of CREDIT" fld="4" baseField="0" baseItem="0"/>
  </dataFields>
  <formats count="7">
    <format dxfId="0">
      <pivotArea field="2" type="button" dataOnly="0" labelOnly="1" outline="0" axis="axisRow" fieldPosition="0"/>
    </format>
    <format dxfId="1">
      <pivotArea type="all" dataOnly="0" outline="0" fieldPosition="0"/>
    </format>
    <format dxfId="2">
      <pivotArea outline="0" collapsedLevelsAreSubtotals="1" fieldPosition="0"/>
    </format>
    <format dxfId="3">
      <pivotArea field="2" type="button" dataOnly="0" labelOnly="1" outline="0" axis="axisRow" fieldPosition="0"/>
    </format>
    <format dxfId="4">
      <pivotArea dataOnly="0" labelOnly="1" fieldPosition="0">
        <references count="1">
          <reference field="2" count="0"/>
        </references>
      </pivotArea>
    </format>
    <format dxfId="5">
      <pivotArea dataOnly="0" labelOnly="1" grandRow="1" outline="0" fieldPosition="0"/>
    </format>
    <format dxfId="6">
      <pivotArea dataOnly="0" labelOnly="1" outline="0" fieldPosition="0">
        <references count="1">
          <reference field="4294967294" count="2">
            <x v="0"/>
            <x v="1"/>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00F968F7-9884-45E2-A642-72421319B66D}" sourceName="ACCOUNT ">
  <pivotTables>
    <pivotTable tabId="9" name="PivotTable2"/>
  </pivotTables>
  <data>
    <tabular pivotCacheId="1389673294">
      <items count="25">
        <i x="15" s="1"/>
        <i x="19" s="1"/>
        <i x="10" s="1"/>
        <i x="23" s="1"/>
        <i x="8" s="1"/>
        <i x="5" s="1"/>
        <i x="1" s="1"/>
        <i x="0" s="1"/>
        <i x="21" s="1"/>
        <i x="22" s="1"/>
        <i x="6" s="1"/>
        <i x="9" s="1"/>
        <i x="3" s="1"/>
        <i x="11" s="1"/>
        <i x="18" s="1"/>
        <i x="7" s="1"/>
        <i x="2" s="1"/>
        <i x="13" s="1"/>
        <i x="4" s="1"/>
        <i x="16" s="1"/>
        <i x="12" s="1"/>
        <i x="14" s="1"/>
        <i x="20" s="1"/>
        <i x="17" s="1"/>
        <i x="2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 xr10:uid="{0B1A905A-A82E-4A30-9E34-1288D746447E}" cache="Slicer_ACCOUNT" caption="ACCOUNT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3BD566-00BB-4F6D-BCC5-2330CE8F2D94}" name="Table1" displayName="Table1" ref="A2:F36" totalsRowShown="0" headerRowDxfId="37">
  <autoFilter ref="A2:F36" xr:uid="{AC3BD566-00BB-4F6D-BCC5-2330CE8F2D94}"/>
  <tableColumns count="6">
    <tableColumn id="1" xr3:uid="{DC53D4F8-C32D-486D-8D9B-53B3372CF176}" name="No." dataDxfId="36"/>
    <tableColumn id="2" xr3:uid="{A5338E8C-1E0E-42E1-AB89-5001D5BF0B3E}" name="Date" dataDxfId="35"/>
    <tableColumn id="3" xr3:uid="{7EFE51D3-A9AC-445E-B9AE-D57D585652C3}" name="Description"/>
    <tableColumn id="4" xr3:uid="{7CE96BCF-C748-4D74-AA2C-034B25E5E8EB}" name="Amount (PKR)" dataDxfId="34"/>
    <tableColumn id="5" xr3:uid="{76BA8A8B-4C05-4585-8235-020FD80DFE3A}" name="Mode/Ref"/>
    <tableColumn id="6" xr3:uid="{9DB4A63E-2165-49B4-B3DB-0BE7EDA78637}" name="REFRENCE" dataDxfId="33"/>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51F9315-BA45-47FB-919E-E4D14607B5E1}" name="Table6" displayName="Table6" ref="A9:F73" totalsRowShown="0" headerRowDxfId="32">
  <autoFilter ref="A9:F73" xr:uid="{651F9315-BA45-47FB-919E-E4D14607B5E1}"/>
  <tableColumns count="6">
    <tableColumn id="1" xr3:uid="{13F69A43-80D0-4691-A4AD-0618EDF7063F}" name="DATE " dataDxfId="31"/>
    <tableColumn id="2" xr3:uid="{E1BCCF36-D76C-4065-AA41-DB0DF53BDE4A}" name="DESCRIPTION" dataDxfId="30"/>
    <tableColumn id="3" xr3:uid="{3799C35A-A7EF-4900-B5FF-65D7C83AA3BA}" name="ACCOUNT " dataDxfId="17"/>
    <tableColumn id="4" xr3:uid="{8664C046-2E1E-4805-BB9F-C160DDE775E5}" name="DEBIT" dataDxfId="16"/>
    <tableColumn id="5" xr3:uid="{0C2D1E39-92EB-4875-A491-8CA3BD91D369}" name="CREDIT" dataDxfId="15"/>
    <tableColumn id="6" xr3:uid="{21C99005-2BD0-40A6-9CBE-223E62BA8410}" name="REFRENCE ID"/>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520211-F488-4189-943B-CB72EC546DC7}" name="Table3" displayName="Table3" ref="B12:J36" totalsRowShown="0" headerRowDxfId="29" tableBorderDxfId="28">
  <tableColumns count="9">
    <tableColumn id="1" xr3:uid="{FD6AE9B2-0DD5-4463-9189-5002A0702728}" name="DATE " dataDxfId="27"/>
    <tableColumn id="2" xr3:uid="{6856DF45-A520-429F-B659-7D2BC0A68B29}" name="PARTICULERS" dataDxfId="26"/>
    <tableColumn id="3" xr3:uid="{8EB19847-D727-42CB-B5F8-0F9540D9BF49}" name="CASH" dataDxfId="25"/>
    <tableColumn id="4" xr3:uid="{C1CD21EA-E8CA-463B-A1A1-66E172352376}" name="BANK" dataDxfId="24"/>
    <tableColumn id="5" xr3:uid="{98B7C3C6-B0C7-4FC6-8271-B28947E7DA06}" name=" " dataDxfId="23"/>
    <tableColumn id="6" xr3:uid="{42AA5005-6CB9-43C6-9292-ACB96EBD97A4}" name="DATE  " dataDxfId="22"/>
    <tableColumn id="7" xr3:uid="{0463EB81-5F7F-4B18-B692-49068F9E9285}" name="PARTICULERS " dataDxfId="21"/>
    <tableColumn id="8" xr3:uid="{5174BBEC-B204-4B9D-9931-3ACABE427890}" name="CASH " dataDxfId="20"/>
    <tableColumn id="9" xr3:uid="{8146B308-3861-48EF-969F-36E58DF9B39B}" name="BANK " dataDxfId="1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0EFD6-7035-4DA1-B932-8040E15578F4}">
  <sheetPr codeName="Sheet2">
    <tabColor theme="0" tint="-0.499984740745262"/>
  </sheetPr>
  <dimension ref="B3:E26"/>
  <sheetViews>
    <sheetView workbookViewId="0">
      <selection activeCell="C27" sqref="C27"/>
    </sheetView>
  </sheetViews>
  <sheetFormatPr defaultRowHeight="14.4" x14ac:dyDescent="0.3"/>
  <cols>
    <col min="2" max="2" width="39" bestFit="1" customWidth="1"/>
    <col min="3" max="3" width="17.33203125" bestFit="1" customWidth="1"/>
    <col min="5" max="5" width="18.6640625" bestFit="1" customWidth="1"/>
    <col min="8" max="8" width="18.6640625" bestFit="1" customWidth="1"/>
  </cols>
  <sheetData>
    <row r="3" spans="2:5" x14ac:dyDescent="0.3">
      <c r="B3" t="s">
        <v>90</v>
      </c>
      <c r="C3" t="s">
        <v>72</v>
      </c>
      <c r="E3" t="s">
        <v>101</v>
      </c>
    </row>
    <row r="4" spans="2:5" x14ac:dyDescent="0.3">
      <c r="B4" t="s">
        <v>88</v>
      </c>
      <c r="C4" t="s">
        <v>75</v>
      </c>
      <c r="E4" t="s">
        <v>102</v>
      </c>
    </row>
    <row r="5" spans="2:5" x14ac:dyDescent="0.3">
      <c r="B5" t="s">
        <v>65</v>
      </c>
      <c r="C5" t="s">
        <v>83</v>
      </c>
      <c r="E5" t="s">
        <v>101</v>
      </c>
    </row>
    <row r="6" spans="2:5" x14ac:dyDescent="0.3">
      <c r="B6" t="s">
        <v>93</v>
      </c>
      <c r="C6" t="s">
        <v>94</v>
      </c>
      <c r="E6" t="s">
        <v>101</v>
      </c>
    </row>
    <row r="7" spans="2:5" x14ac:dyDescent="0.3">
      <c r="B7" t="s">
        <v>89</v>
      </c>
      <c r="C7" t="s">
        <v>72</v>
      </c>
      <c r="E7" t="s">
        <v>101</v>
      </c>
    </row>
    <row r="8" spans="2:5" x14ac:dyDescent="0.3">
      <c r="B8" t="s">
        <v>66</v>
      </c>
      <c r="C8" t="s">
        <v>72</v>
      </c>
      <c r="E8" t="s">
        <v>101</v>
      </c>
    </row>
    <row r="9" spans="2:5" x14ac:dyDescent="0.3">
      <c r="B9" t="s">
        <v>63</v>
      </c>
      <c r="C9" t="s">
        <v>74</v>
      </c>
      <c r="E9" t="s">
        <v>101</v>
      </c>
    </row>
    <row r="10" spans="2:5" x14ac:dyDescent="0.3">
      <c r="B10" t="s">
        <v>57</v>
      </c>
      <c r="C10" t="s">
        <v>72</v>
      </c>
      <c r="E10" t="s">
        <v>101</v>
      </c>
    </row>
    <row r="11" spans="2:5" x14ac:dyDescent="0.3">
      <c r="B11" t="s">
        <v>91</v>
      </c>
      <c r="C11" t="s">
        <v>75</v>
      </c>
      <c r="E11" t="s">
        <v>102</v>
      </c>
    </row>
    <row r="12" spans="2:5" x14ac:dyDescent="0.3">
      <c r="B12" t="s">
        <v>92</v>
      </c>
      <c r="C12" t="s">
        <v>75</v>
      </c>
      <c r="E12" t="s">
        <v>102</v>
      </c>
    </row>
    <row r="13" spans="2:5" x14ac:dyDescent="0.3">
      <c r="B13" t="s">
        <v>69</v>
      </c>
      <c r="C13" t="s">
        <v>75</v>
      </c>
      <c r="E13" t="s">
        <v>102</v>
      </c>
    </row>
    <row r="14" spans="2:5" x14ac:dyDescent="0.3">
      <c r="B14" t="s">
        <v>77</v>
      </c>
      <c r="C14" t="s">
        <v>75</v>
      </c>
      <c r="E14" t="s">
        <v>102</v>
      </c>
    </row>
    <row r="15" spans="2:5" x14ac:dyDescent="0.3">
      <c r="B15" t="s">
        <v>76</v>
      </c>
      <c r="C15" t="s">
        <v>72</v>
      </c>
      <c r="E15" t="s">
        <v>101</v>
      </c>
    </row>
    <row r="16" spans="2:5" x14ac:dyDescent="0.3">
      <c r="B16" t="s">
        <v>87</v>
      </c>
      <c r="C16" t="s">
        <v>83</v>
      </c>
      <c r="E16" t="s">
        <v>101</v>
      </c>
    </row>
    <row r="17" spans="2:5" x14ac:dyDescent="0.3">
      <c r="B17" t="s">
        <v>68</v>
      </c>
      <c r="C17" t="s">
        <v>103</v>
      </c>
      <c r="E17" t="s">
        <v>101</v>
      </c>
    </row>
    <row r="18" spans="2:5" x14ac:dyDescent="0.3">
      <c r="B18" t="s">
        <v>70</v>
      </c>
      <c r="C18" t="s">
        <v>75</v>
      </c>
      <c r="E18" t="s">
        <v>102</v>
      </c>
    </row>
    <row r="19" spans="2:5" x14ac:dyDescent="0.3">
      <c r="B19" t="s">
        <v>81</v>
      </c>
      <c r="C19" t="s">
        <v>75</v>
      </c>
      <c r="E19" t="s">
        <v>102</v>
      </c>
    </row>
    <row r="20" spans="2:5" x14ac:dyDescent="0.3">
      <c r="B20" t="s">
        <v>64</v>
      </c>
      <c r="C20" t="s">
        <v>73</v>
      </c>
      <c r="E20" t="s">
        <v>102</v>
      </c>
    </row>
    <row r="21" spans="2:5" x14ac:dyDescent="0.3">
      <c r="B21" t="s">
        <v>84</v>
      </c>
      <c r="C21" t="s">
        <v>85</v>
      </c>
      <c r="E21" t="s">
        <v>102</v>
      </c>
    </row>
    <row r="22" spans="2:5" x14ac:dyDescent="0.3">
      <c r="B22" t="s">
        <v>78</v>
      </c>
      <c r="C22" t="s">
        <v>72</v>
      </c>
      <c r="E22" t="s">
        <v>101</v>
      </c>
    </row>
    <row r="23" spans="2:5" x14ac:dyDescent="0.3">
      <c r="B23" t="s">
        <v>82</v>
      </c>
      <c r="C23" t="s">
        <v>72</v>
      </c>
      <c r="E23" t="s">
        <v>101</v>
      </c>
    </row>
    <row r="24" spans="2:5" x14ac:dyDescent="0.3">
      <c r="B24" t="s">
        <v>119</v>
      </c>
      <c r="C24" t="s">
        <v>75</v>
      </c>
      <c r="E24" t="s">
        <v>102</v>
      </c>
    </row>
    <row r="25" spans="2:5" x14ac:dyDescent="0.3">
      <c r="B25" t="s">
        <v>86</v>
      </c>
      <c r="C25" t="s">
        <v>75</v>
      </c>
      <c r="E25" t="s">
        <v>102</v>
      </c>
    </row>
    <row r="26" spans="2:5" x14ac:dyDescent="0.3">
      <c r="B26" t="s">
        <v>135</v>
      </c>
      <c r="C26" t="s">
        <v>94</v>
      </c>
      <c r="E26" t="s">
        <v>101</v>
      </c>
    </row>
  </sheetData>
  <sortState xmlns:xlrd2="http://schemas.microsoft.com/office/spreadsheetml/2017/richdata2" ref="B3:E25">
    <sortCondition ref="B3:B25"/>
  </sortState>
  <conditionalFormatting sqref="H3:H25">
    <cfRule type="containsText" dxfId="18" priority="1" operator="containsText" text="INCOME STATEMENT">
      <formula>NOT(ISERROR(SEARCH("INCOME STATEMENT",H3)))</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65073-7F4E-4BDE-AB53-9C6752762260}">
  <sheetPr codeName="Sheet1">
    <tabColor theme="0" tint="-0.499984740745262"/>
  </sheetPr>
  <dimension ref="A1:P56"/>
  <sheetViews>
    <sheetView zoomScale="64" zoomScaleNormal="120" workbookViewId="0">
      <selection activeCell="I26" sqref="I26"/>
    </sheetView>
  </sheetViews>
  <sheetFormatPr defaultRowHeight="14.4" x14ac:dyDescent="0.3"/>
  <cols>
    <col min="1" max="1" width="9.44140625" customWidth="1"/>
    <col min="2" max="2" width="13.21875" customWidth="1"/>
    <col min="3" max="3" width="41.44140625" bestFit="1" customWidth="1"/>
    <col min="4" max="4" width="17.5546875" style="2" bestFit="1" customWidth="1"/>
    <col min="5" max="5" width="20.21875" hidden="1" customWidth="1"/>
    <col min="6" max="6" width="19.33203125" bestFit="1" customWidth="1"/>
    <col min="8" max="8" width="11.6640625" bestFit="1" customWidth="1"/>
    <col min="9" max="9" width="35.33203125" bestFit="1" customWidth="1"/>
    <col min="10" max="10" width="11.88671875" bestFit="1" customWidth="1"/>
    <col min="11" max="11" width="19.6640625" customWidth="1"/>
    <col min="12" max="12" width="12.44140625" customWidth="1"/>
    <col min="13" max="13" width="16.33203125" bestFit="1" customWidth="1"/>
    <col min="14" max="14" width="14.88671875" bestFit="1" customWidth="1"/>
  </cols>
  <sheetData>
    <row r="1" spans="1:12" ht="26.4" customHeight="1" x14ac:dyDescent="0.3">
      <c r="A1" s="3" t="s">
        <v>55</v>
      </c>
      <c r="H1" s="120"/>
      <c r="I1" s="120"/>
      <c r="J1" s="120"/>
      <c r="K1" s="120"/>
      <c r="L1" s="120"/>
    </row>
    <row r="2" spans="1:12" ht="14.4" customHeight="1" x14ac:dyDescent="0.3">
      <c r="A2" s="2" t="s">
        <v>0</v>
      </c>
      <c r="B2" s="2" t="s">
        <v>1</v>
      </c>
      <c r="C2" s="2" t="s">
        <v>2</v>
      </c>
      <c r="D2" s="2" t="s">
        <v>3</v>
      </c>
      <c r="E2" s="2" t="s">
        <v>4</v>
      </c>
      <c r="F2" s="2" t="s">
        <v>158</v>
      </c>
      <c r="H2" s="128" t="s">
        <v>54</v>
      </c>
      <c r="I2" s="129"/>
      <c r="J2" s="120"/>
      <c r="K2" s="120"/>
      <c r="L2" s="120"/>
    </row>
    <row r="3" spans="1:12" ht="15" thickBot="1" x14ac:dyDescent="0.35">
      <c r="A3" s="2">
        <v>1</v>
      </c>
      <c r="B3" s="4">
        <v>46082</v>
      </c>
      <c r="C3" s="14" t="s">
        <v>160</v>
      </c>
      <c r="D3" s="2">
        <v>56300</v>
      </c>
      <c r="E3" s="2"/>
      <c r="F3" s="2"/>
      <c r="H3" s="130"/>
      <c r="I3" s="130"/>
      <c r="J3" s="112"/>
      <c r="K3" s="112"/>
      <c r="L3" s="112"/>
    </row>
    <row r="4" spans="1:12" ht="16.2" customHeight="1" x14ac:dyDescent="0.3">
      <c r="A4" s="2">
        <v>2</v>
      </c>
      <c r="B4" s="4">
        <v>46082</v>
      </c>
      <c r="C4" t="s">
        <v>5</v>
      </c>
      <c r="D4" s="2">
        <v>550000</v>
      </c>
      <c r="E4" t="s">
        <v>6</v>
      </c>
      <c r="F4" s="2"/>
      <c r="H4" s="121" t="s">
        <v>1</v>
      </c>
      <c r="I4" s="122" t="s">
        <v>176</v>
      </c>
      <c r="J4" s="121" t="s">
        <v>182</v>
      </c>
      <c r="K4" s="121" t="s">
        <v>183</v>
      </c>
      <c r="L4" s="121" t="s">
        <v>178</v>
      </c>
    </row>
    <row r="5" spans="1:12" x14ac:dyDescent="0.3">
      <c r="A5" s="2">
        <v>3</v>
      </c>
      <c r="B5" s="4">
        <v>46082</v>
      </c>
      <c r="C5" t="s">
        <v>7</v>
      </c>
      <c r="D5" s="2">
        <v>40000</v>
      </c>
      <c r="E5" t="s">
        <v>6</v>
      </c>
      <c r="F5" s="2"/>
    </row>
    <row r="6" spans="1:12" x14ac:dyDescent="0.3">
      <c r="A6" s="2">
        <v>4</v>
      </c>
      <c r="B6" s="4">
        <v>46083</v>
      </c>
      <c r="C6" t="s">
        <v>8</v>
      </c>
      <c r="D6" s="2">
        <v>85000</v>
      </c>
      <c r="E6" t="s">
        <v>9</v>
      </c>
      <c r="F6" s="2"/>
      <c r="H6" s="113">
        <v>46082</v>
      </c>
      <c r="I6" t="s">
        <v>181</v>
      </c>
      <c r="L6" s="1">
        <v>0</v>
      </c>
    </row>
    <row r="7" spans="1:12" x14ac:dyDescent="0.3">
      <c r="A7" s="2">
        <v>5</v>
      </c>
      <c r="B7" s="4">
        <v>46084</v>
      </c>
      <c r="C7" t="s">
        <v>10</v>
      </c>
      <c r="D7" s="2">
        <v>32000</v>
      </c>
      <c r="E7" t="s">
        <v>6</v>
      </c>
      <c r="F7" s="2"/>
      <c r="H7" s="76"/>
    </row>
    <row r="8" spans="1:12" x14ac:dyDescent="0.3">
      <c r="A8" s="2">
        <v>6</v>
      </c>
      <c r="B8" s="4">
        <v>46085</v>
      </c>
      <c r="C8" t="s">
        <v>11</v>
      </c>
      <c r="D8" s="2">
        <v>60000</v>
      </c>
      <c r="E8" t="s">
        <v>9</v>
      </c>
      <c r="F8" s="2"/>
      <c r="H8" s="76">
        <v>46088</v>
      </c>
      <c r="I8" t="s">
        <v>48</v>
      </c>
      <c r="K8">
        <v>25000</v>
      </c>
      <c r="L8">
        <f>L6+K8-J8</f>
        <v>25000</v>
      </c>
    </row>
    <row r="9" spans="1:12" x14ac:dyDescent="0.3">
      <c r="A9" s="2">
        <v>7</v>
      </c>
      <c r="B9" s="4">
        <v>46086</v>
      </c>
      <c r="C9" t="s">
        <v>12</v>
      </c>
      <c r="D9" s="2">
        <v>12500</v>
      </c>
      <c r="E9" t="s">
        <v>13</v>
      </c>
      <c r="F9" s="2"/>
      <c r="H9" s="76">
        <v>46093</v>
      </c>
      <c r="I9" t="s">
        <v>49</v>
      </c>
      <c r="K9">
        <v>18000</v>
      </c>
      <c r="L9">
        <f t="shared" ref="L9:L14" si="0">L8+K9-J9</f>
        <v>43000</v>
      </c>
    </row>
    <row r="10" spans="1:12" x14ac:dyDescent="0.3">
      <c r="A10" s="2">
        <v>8</v>
      </c>
      <c r="B10" s="4">
        <v>46087</v>
      </c>
      <c r="C10" t="s">
        <v>14</v>
      </c>
      <c r="D10" s="2">
        <v>55000</v>
      </c>
      <c r="E10" t="s">
        <v>15</v>
      </c>
      <c r="F10" s="2"/>
      <c r="H10" s="76">
        <v>46099</v>
      </c>
      <c r="I10" t="s">
        <v>48</v>
      </c>
      <c r="K10">
        <v>24000</v>
      </c>
      <c r="L10">
        <f t="shared" si="0"/>
        <v>67000</v>
      </c>
    </row>
    <row r="11" spans="1:12" x14ac:dyDescent="0.3">
      <c r="A11" s="2">
        <v>9</v>
      </c>
      <c r="B11" s="4">
        <v>46088</v>
      </c>
      <c r="C11" t="s">
        <v>16</v>
      </c>
      <c r="D11" s="2">
        <v>25000</v>
      </c>
      <c r="E11" t="s">
        <v>17</v>
      </c>
      <c r="F11" s="2"/>
      <c r="H11" s="76">
        <v>46099</v>
      </c>
      <c r="I11" t="s">
        <v>186</v>
      </c>
      <c r="J11">
        <v>24000</v>
      </c>
      <c r="L11">
        <f t="shared" si="0"/>
        <v>43000</v>
      </c>
    </row>
    <row r="12" spans="1:12" x14ac:dyDescent="0.3">
      <c r="A12" s="2">
        <v>10</v>
      </c>
      <c r="B12" s="4">
        <v>46089</v>
      </c>
      <c r="C12" t="s">
        <v>18</v>
      </c>
      <c r="D12" s="2">
        <v>42000</v>
      </c>
      <c r="E12" t="s">
        <v>6</v>
      </c>
      <c r="F12" s="2"/>
      <c r="H12" s="76">
        <v>46102</v>
      </c>
      <c r="I12" t="s">
        <v>50</v>
      </c>
      <c r="J12">
        <v>9000</v>
      </c>
      <c r="L12">
        <f t="shared" si="0"/>
        <v>34000</v>
      </c>
    </row>
    <row r="13" spans="1:12" x14ac:dyDescent="0.3">
      <c r="A13" s="2">
        <v>11</v>
      </c>
      <c r="B13" s="4">
        <v>46090</v>
      </c>
      <c r="C13" t="s">
        <v>19</v>
      </c>
      <c r="D13" s="2">
        <v>4500</v>
      </c>
      <c r="E13" t="s">
        <v>6</v>
      </c>
      <c r="F13" s="2"/>
      <c r="H13" s="76">
        <v>46110</v>
      </c>
      <c r="I13" t="s">
        <v>51</v>
      </c>
      <c r="J13">
        <v>500</v>
      </c>
      <c r="L13">
        <f t="shared" si="0"/>
        <v>33500</v>
      </c>
    </row>
    <row r="14" spans="1:12" x14ac:dyDescent="0.3">
      <c r="A14" s="2">
        <v>12</v>
      </c>
      <c r="B14" s="4">
        <v>46091</v>
      </c>
      <c r="C14" t="s">
        <v>20</v>
      </c>
      <c r="D14" s="2">
        <v>5000</v>
      </c>
      <c r="E14" t="s">
        <v>21</v>
      </c>
      <c r="F14" s="2"/>
      <c r="H14" s="76">
        <v>46112</v>
      </c>
      <c r="I14" t="s">
        <v>52</v>
      </c>
      <c r="K14">
        <v>300</v>
      </c>
      <c r="L14" s="1">
        <f t="shared" si="0"/>
        <v>33800</v>
      </c>
    </row>
    <row r="15" spans="1:12" x14ac:dyDescent="0.3">
      <c r="A15" s="2">
        <v>13</v>
      </c>
      <c r="B15" s="4">
        <v>46092</v>
      </c>
      <c r="C15" t="s">
        <v>22</v>
      </c>
      <c r="D15" s="2">
        <v>48000</v>
      </c>
      <c r="E15" t="s">
        <v>9</v>
      </c>
      <c r="F15" s="2"/>
      <c r="L15" s="1" t="s">
        <v>53</v>
      </c>
    </row>
    <row r="16" spans="1:12" x14ac:dyDescent="0.3">
      <c r="A16" s="2">
        <v>14</v>
      </c>
      <c r="B16" s="4">
        <v>46093</v>
      </c>
      <c r="C16" t="s">
        <v>23</v>
      </c>
      <c r="D16" s="2">
        <v>18000</v>
      </c>
      <c r="E16" t="s">
        <v>24</v>
      </c>
      <c r="F16" s="2"/>
    </row>
    <row r="17" spans="1:16" x14ac:dyDescent="0.3">
      <c r="A17" s="2">
        <v>15</v>
      </c>
      <c r="B17" s="4">
        <v>46094</v>
      </c>
      <c r="C17" t="s">
        <v>25</v>
      </c>
      <c r="D17" s="2">
        <v>30000</v>
      </c>
      <c r="E17" t="s">
        <v>6</v>
      </c>
      <c r="F17" s="2"/>
    </row>
    <row r="18" spans="1:16" x14ac:dyDescent="0.3">
      <c r="A18" s="2">
        <v>16</v>
      </c>
      <c r="B18" s="4">
        <v>46095</v>
      </c>
      <c r="C18" t="s">
        <v>26</v>
      </c>
      <c r="D18" s="2">
        <v>6800</v>
      </c>
      <c r="E18" t="s">
        <v>6</v>
      </c>
      <c r="F18" s="2"/>
    </row>
    <row r="19" spans="1:16" x14ac:dyDescent="0.3">
      <c r="A19" s="2">
        <v>17</v>
      </c>
      <c r="B19" s="4">
        <v>46096</v>
      </c>
      <c r="C19" t="s">
        <v>157</v>
      </c>
      <c r="D19" s="2">
        <v>20000</v>
      </c>
      <c r="E19" t="s">
        <v>28</v>
      </c>
      <c r="F19" s="2"/>
      <c r="J19" s="1"/>
    </row>
    <row r="20" spans="1:16" x14ac:dyDescent="0.3">
      <c r="A20" s="2">
        <v>18</v>
      </c>
      <c r="B20" s="4">
        <v>46097</v>
      </c>
      <c r="C20" t="s">
        <v>121</v>
      </c>
      <c r="D20" s="2">
        <v>27500</v>
      </c>
      <c r="E20" t="s">
        <v>6</v>
      </c>
      <c r="F20" s="2"/>
      <c r="J20" s="2"/>
      <c r="K20" s="2"/>
      <c r="L20" s="2"/>
      <c r="M20" s="2"/>
      <c r="N20" s="2"/>
    </row>
    <row r="21" spans="1:16" x14ac:dyDescent="0.3">
      <c r="A21" s="2">
        <v>19</v>
      </c>
      <c r="B21" s="4">
        <v>46098</v>
      </c>
      <c r="C21" t="s">
        <v>29</v>
      </c>
      <c r="D21" s="2">
        <v>3000</v>
      </c>
      <c r="E21" t="s">
        <v>30</v>
      </c>
      <c r="F21" s="2"/>
    </row>
    <row r="22" spans="1:16" x14ac:dyDescent="0.3">
      <c r="A22" s="2">
        <v>20</v>
      </c>
      <c r="B22" s="4">
        <v>46099</v>
      </c>
      <c r="C22" t="s">
        <v>16</v>
      </c>
      <c r="D22" s="2">
        <v>24000</v>
      </c>
      <c r="E22" t="s">
        <v>31</v>
      </c>
      <c r="F22" s="2"/>
    </row>
    <row r="23" spans="1:16" x14ac:dyDescent="0.3">
      <c r="A23" s="2">
        <v>21</v>
      </c>
      <c r="B23" s="4">
        <v>46100</v>
      </c>
      <c r="C23" t="s">
        <v>32</v>
      </c>
      <c r="D23" s="2">
        <v>3200</v>
      </c>
      <c r="E23" t="s">
        <v>6</v>
      </c>
      <c r="F23" s="2"/>
    </row>
    <row r="24" spans="1:16" x14ac:dyDescent="0.3">
      <c r="A24" s="2">
        <v>22</v>
      </c>
      <c r="B24" s="4">
        <v>46101</v>
      </c>
      <c r="C24" t="s">
        <v>33</v>
      </c>
      <c r="D24" s="2">
        <v>70000</v>
      </c>
      <c r="E24" t="s">
        <v>9</v>
      </c>
      <c r="F24" s="2"/>
    </row>
    <row r="25" spans="1:16" x14ac:dyDescent="0.3">
      <c r="A25" s="2">
        <v>23</v>
      </c>
      <c r="B25" s="4">
        <v>46102</v>
      </c>
      <c r="C25" t="s">
        <v>34</v>
      </c>
      <c r="D25" s="2">
        <v>9000</v>
      </c>
      <c r="E25" t="s">
        <v>35</v>
      </c>
      <c r="F25" s="2"/>
      <c r="L25" s="1"/>
    </row>
    <row r="26" spans="1:16" x14ac:dyDescent="0.3">
      <c r="A26" s="2">
        <v>24</v>
      </c>
      <c r="B26" s="4">
        <v>46103</v>
      </c>
      <c r="C26" t="s">
        <v>184</v>
      </c>
      <c r="D26" s="2">
        <v>12000</v>
      </c>
      <c r="E26" t="s">
        <v>36</v>
      </c>
      <c r="F26" s="2"/>
      <c r="L26" s="2"/>
      <c r="M26" s="2"/>
      <c r="N26" s="2"/>
      <c r="O26" s="2"/>
      <c r="P26" s="2"/>
    </row>
    <row r="27" spans="1:16" x14ac:dyDescent="0.3">
      <c r="A27" s="2">
        <v>25</v>
      </c>
      <c r="B27" s="4">
        <v>46104</v>
      </c>
      <c r="C27" t="s">
        <v>37</v>
      </c>
      <c r="D27" s="2">
        <v>10000</v>
      </c>
      <c r="E27" t="s">
        <v>6</v>
      </c>
      <c r="F27" s="2"/>
    </row>
    <row r="28" spans="1:16" x14ac:dyDescent="0.3">
      <c r="A28" s="2">
        <v>26</v>
      </c>
      <c r="B28" s="4">
        <v>46105</v>
      </c>
      <c r="C28" t="s">
        <v>38</v>
      </c>
      <c r="D28" s="2">
        <v>5500</v>
      </c>
      <c r="E28" t="s">
        <v>6</v>
      </c>
      <c r="F28" s="2"/>
    </row>
    <row r="29" spans="1:16" x14ac:dyDescent="0.3">
      <c r="A29" s="2">
        <v>27</v>
      </c>
      <c r="B29" s="4">
        <v>46106</v>
      </c>
      <c r="C29" t="s">
        <v>39</v>
      </c>
      <c r="D29" s="2">
        <v>15000</v>
      </c>
      <c r="E29" t="s">
        <v>40</v>
      </c>
      <c r="F29" s="2"/>
    </row>
    <row r="30" spans="1:16" x14ac:dyDescent="0.3">
      <c r="A30" s="2">
        <v>28</v>
      </c>
      <c r="B30" s="4">
        <v>46107</v>
      </c>
      <c r="C30" t="s">
        <v>10</v>
      </c>
      <c r="D30" s="2">
        <v>36500</v>
      </c>
      <c r="E30" t="s">
        <v>6</v>
      </c>
      <c r="F30" s="2"/>
    </row>
    <row r="31" spans="1:16" x14ac:dyDescent="0.3">
      <c r="A31" s="2">
        <v>29</v>
      </c>
      <c r="B31" s="4">
        <v>46108</v>
      </c>
      <c r="C31" t="s">
        <v>185</v>
      </c>
      <c r="D31" s="2">
        <v>12000</v>
      </c>
      <c r="E31" t="s">
        <v>42</v>
      </c>
      <c r="F31" s="2"/>
    </row>
    <row r="32" spans="1:16" x14ac:dyDescent="0.3">
      <c r="A32" s="2">
        <v>30</v>
      </c>
      <c r="B32" s="4">
        <v>46109</v>
      </c>
      <c r="C32" t="s">
        <v>43</v>
      </c>
      <c r="D32" s="2">
        <v>4000</v>
      </c>
      <c r="E32" t="s">
        <v>44</v>
      </c>
      <c r="F32" s="2"/>
    </row>
    <row r="33" spans="1:6" x14ac:dyDescent="0.3">
      <c r="A33" s="2">
        <v>31</v>
      </c>
      <c r="B33" s="4">
        <v>46110</v>
      </c>
      <c r="C33" t="s">
        <v>18</v>
      </c>
      <c r="D33" s="2">
        <v>28000</v>
      </c>
      <c r="E33" t="s">
        <v>6</v>
      </c>
      <c r="F33" s="2"/>
    </row>
    <row r="34" spans="1:6" x14ac:dyDescent="0.3">
      <c r="A34" s="2">
        <v>32</v>
      </c>
      <c r="B34" s="4">
        <v>46111</v>
      </c>
      <c r="C34" t="s">
        <v>16</v>
      </c>
      <c r="D34" s="2">
        <v>9000</v>
      </c>
      <c r="E34" t="s">
        <v>45</v>
      </c>
      <c r="F34" s="2"/>
    </row>
    <row r="35" spans="1:6" x14ac:dyDescent="0.3">
      <c r="A35" s="2">
        <v>33</v>
      </c>
      <c r="B35" s="4">
        <v>46112</v>
      </c>
      <c r="C35" t="s">
        <v>46</v>
      </c>
      <c r="D35" s="2">
        <v>1500</v>
      </c>
      <c r="E35" t="s">
        <v>47</v>
      </c>
      <c r="F35" s="2"/>
    </row>
    <row r="36" spans="1:6" x14ac:dyDescent="0.3">
      <c r="A36" s="2"/>
      <c r="B36" s="4"/>
      <c r="F36" s="2"/>
    </row>
    <row r="37" spans="1:6" x14ac:dyDescent="0.3">
      <c r="A37" s="2"/>
      <c r="B37" s="4"/>
      <c r="F37" s="2"/>
    </row>
    <row r="38" spans="1:6" x14ac:dyDescent="0.3">
      <c r="A38" s="2"/>
      <c r="B38" s="4"/>
      <c r="F38" s="2"/>
    </row>
    <row r="39" spans="1:6" x14ac:dyDescent="0.3">
      <c r="A39" s="2"/>
      <c r="B39" s="4"/>
      <c r="F39" s="2"/>
    </row>
    <row r="40" spans="1:6" x14ac:dyDescent="0.3">
      <c r="A40" s="2"/>
      <c r="B40" s="4"/>
      <c r="F40" s="2"/>
    </row>
    <row r="41" spans="1:6" x14ac:dyDescent="0.3">
      <c r="A41" s="2"/>
      <c r="B41" s="4"/>
      <c r="F41" s="2"/>
    </row>
    <row r="42" spans="1:6" x14ac:dyDescent="0.3">
      <c r="A42" s="2"/>
      <c r="B42" s="4"/>
      <c r="F42" s="2"/>
    </row>
    <row r="43" spans="1:6" x14ac:dyDescent="0.3">
      <c r="A43" s="2"/>
      <c r="B43" s="4"/>
      <c r="F43" s="2"/>
    </row>
    <row r="44" spans="1:6" x14ac:dyDescent="0.3">
      <c r="A44" s="2"/>
      <c r="B44" s="4"/>
      <c r="F44" s="2"/>
    </row>
    <row r="45" spans="1:6" x14ac:dyDescent="0.3">
      <c r="A45" s="2"/>
      <c r="B45" s="4"/>
      <c r="F45" s="2"/>
    </row>
    <row r="46" spans="1:6" x14ac:dyDescent="0.3">
      <c r="A46" s="2"/>
      <c r="B46" s="4"/>
      <c r="F46" s="2"/>
    </row>
    <row r="47" spans="1:6" x14ac:dyDescent="0.3">
      <c r="A47" s="2"/>
      <c r="B47" s="4"/>
      <c r="F47" s="2"/>
    </row>
    <row r="48" spans="1:6" x14ac:dyDescent="0.3">
      <c r="A48" s="2"/>
      <c r="B48" s="4"/>
      <c r="F48" s="2"/>
    </row>
    <row r="49" spans="1:6" x14ac:dyDescent="0.3">
      <c r="A49" s="2"/>
      <c r="B49" s="4"/>
      <c r="F49" s="2"/>
    </row>
    <row r="50" spans="1:6" x14ac:dyDescent="0.3">
      <c r="A50" s="2"/>
      <c r="B50" s="4"/>
      <c r="F50" s="2"/>
    </row>
    <row r="51" spans="1:6" x14ac:dyDescent="0.3">
      <c r="A51" s="2"/>
      <c r="B51" s="4"/>
      <c r="F51" s="2"/>
    </row>
    <row r="52" spans="1:6" x14ac:dyDescent="0.3">
      <c r="A52" s="2"/>
      <c r="B52" s="4"/>
      <c r="F52" s="2"/>
    </row>
    <row r="53" spans="1:6" x14ac:dyDescent="0.3">
      <c r="A53" s="2"/>
      <c r="B53" s="4"/>
      <c r="F53" s="2"/>
    </row>
    <row r="54" spans="1:6" x14ac:dyDescent="0.3">
      <c r="A54" s="2"/>
      <c r="B54" s="4"/>
      <c r="F54" s="2"/>
    </row>
    <row r="55" spans="1:6" x14ac:dyDescent="0.3">
      <c r="A55" s="2"/>
      <c r="B55" s="4"/>
      <c r="F55" s="2"/>
    </row>
    <row r="56" spans="1:6" x14ac:dyDescent="0.3">
      <c r="A56" s="2"/>
      <c r="B56" s="4"/>
      <c r="F56" s="2"/>
    </row>
  </sheetData>
  <mergeCells count="1">
    <mergeCell ref="H2:I3"/>
  </mergeCells>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F1D3B-35CC-457C-B863-9E2E0757DC44}">
  <sheetPr codeName="Sheet3">
    <tabColor theme="4" tint="-0.249977111117893"/>
  </sheetPr>
  <dimension ref="A1:F73"/>
  <sheetViews>
    <sheetView showGridLines="0" tabSelected="1" zoomScale="80" zoomScaleNormal="98" workbookViewId="0">
      <selection activeCell="G27" sqref="G27"/>
    </sheetView>
  </sheetViews>
  <sheetFormatPr defaultRowHeight="14.4" x14ac:dyDescent="0.3"/>
  <cols>
    <col min="1" max="1" width="18.44140625" style="2" customWidth="1"/>
    <col min="2" max="2" width="34.88671875" bestFit="1" customWidth="1"/>
    <col min="3" max="3" width="39" bestFit="1" customWidth="1"/>
    <col min="4" max="4" width="11.5546875" bestFit="1" customWidth="1"/>
    <col min="5" max="5" width="11.6640625" bestFit="1" customWidth="1"/>
    <col min="6" max="6" width="25.88671875" bestFit="1" customWidth="1"/>
    <col min="7" max="7" width="16.109375" customWidth="1"/>
    <col min="9" max="9" width="7.109375" customWidth="1"/>
  </cols>
  <sheetData>
    <row r="1" spans="1:6" x14ac:dyDescent="0.3">
      <c r="A1" s="131"/>
      <c r="B1" s="131"/>
      <c r="C1" s="131"/>
      <c r="D1" s="131"/>
      <c r="E1" s="131"/>
      <c r="F1" s="131"/>
    </row>
    <row r="2" spans="1:6" x14ac:dyDescent="0.3">
      <c r="A2" s="131"/>
      <c r="B2" s="131"/>
      <c r="C2" s="131"/>
      <c r="D2" s="131"/>
      <c r="E2" s="131"/>
      <c r="F2" s="131"/>
    </row>
    <row r="3" spans="1:6" x14ac:dyDescent="0.3">
      <c r="A3" s="131"/>
      <c r="B3" s="131"/>
      <c r="C3" s="131"/>
      <c r="D3" s="131"/>
      <c r="E3" s="131"/>
      <c r="F3" s="131"/>
    </row>
    <row r="4" spans="1:6" x14ac:dyDescent="0.3">
      <c r="A4" s="131"/>
      <c r="B4" s="131"/>
      <c r="C4" s="131"/>
      <c r="D4" s="131"/>
      <c r="E4" s="131"/>
      <c r="F4" s="131"/>
    </row>
    <row r="5" spans="1:6" x14ac:dyDescent="0.3">
      <c r="A5" s="131"/>
      <c r="B5" s="131"/>
      <c r="C5" s="131"/>
      <c r="D5" s="131"/>
      <c r="E5" s="131"/>
      <c r="F5" s="131"/>
    </row>
    <row r="6" spans="1:6" x14ac:dyDescent="0.3">
      <c r="A6" s="131"/>
      <c r="B6" s="131"/>
      <c r="C6" s="131"/>
      <c r="D6" s="131"/>
      <c r="E6" s="131"/>
      <c r="F6" s="131"/>
    </row>
    <row r="7" spans="1:6" x14ac:dyDescent="0.3">
      <c r="A7" s="131"/>
      <c r="B7" s="131"/>
      <c r="C7" s="131"/>
      <c r="D7" s="131"/>
      <c r="E7" s="131"/>
      <c r="F7" s="131"/>
    </row>
    <row r="8" spans="1:6" x14ac:dyDescent="0.3">
      <c r="A8" s="131"/>
      <c r="B8" s="131"/>
      <c r="C8" s="131"/>
      <c r="D8" s="131"/>
      <c r="E8" s="131"/>
      <c r="F8" s="131"/>
    </row>
    <row r="9" spans="1:6" x14ac:dyDescent="0.3">
      <c r="A9" s="2" t="s">
        <v>59</v>
      </c>
      <c r="B9" s="2" t="s">
        <v>60</v>
      </c>
      <c r="C9" s="2" t="s">
        <v>61</v>
      </c>
      <c r="D9" s="154" t="s">
        <v>62</v>
      </c>
      <c r="E9" s="154" t="s">
        <v>56</v>
      </c>
      <c r="F9" s="2" t="s">
        <v>67</v>
      </c>
    </row>
    <row r="10" spans="1:6" x14ac:dyDescent="0.3">
      <c r="A10" s="4">
        <v>46082</v>
      </c>
      <c r="B10" t="s">
        <v>5</v>
      </c>
      <c r="C10" t="s">
        <v>57</v>
      </c>
      <c r="D10" s="60">
        <v>550000</v>
      </c>
      <c r="E10" s="60"/>
      <c r="F10" s="2"/>
    </row>
    <row r="11" spans="1:6" x14ac:dyDescent="0.3">
      <c r="A11" s="4"/>
      <c r="B11" t="s">
        <v>5</v>
      </c>
      <c r="C11" t="s">
        <v>63</v>
      </c>
      <c r="D11" s="60"/>
      <c r="E11" s="60">
        <v>550000</v>
      </c>
      <c r="F11" s="2"/>
    </row>
    <row r="12" spans="1:6" x14ac:dyDescent="0.3">
      <c r="A12" s="4">
        <v>46082</v>
      </c>
      <c r="B12" t="s">
        <v>7</v>
      </c>
      <c r="C12" t="s">
        <v>70</v>
      </c>
      <c r="D12" s="60">
        <v>40000</v>
      </c>
      <c r="E12" s="60"/>
      <c r="F12" s="2"/>
    </row>
    <row r="13" spans="1:6" x14ac:dyDescent="0.3">
      <c r="A13" s="4"/>
      <c r="B13" t="s">
        <v>7</v>
      </c>
      <c r="C13" t="s">
        <v>57</v>
      </c>
      <c r="D13" s="60"/>
      <c r="E13" s="60">
        <v>40000</v>
      </c>
      <c r="F13" s="2"/>
    </row>
    <row r="14" spans="1:6" x14ac:dyDescent="0.3">
      <c r="A14" s="4">
        <v>46083</v>
      </c>
      <c r="B14" t="s">
        <v>8</v>
      </c>
      <c r="C14" t="s">
        <v>76</v>
      </c>
      <c r="D14" s="60">
        <v>85000</v>
      </c>
      <c r="E14" s="60"/>
      <c r="F14" s="2"/>
    </row>
    <row r="15" spans="1:6" x14ac:dyDescent="0.3">
      <c r="A15" s="4"/>
      <c r="B15" t="s">
        <v>8</v>
      </c>
      <c r="C15" t="s">
        <v>57</v>
      </c>
      <c r="D15" s="60"/>
      <c r="E15" s="60">
        <v>85000</v>
      </c>
      <c r="F15" s="2"/>
    </row>
    <row r="16" spans="1:6" x14ac:dyDescent="0.3">
      <c r="A16" s="4">
        <v>46084</v>
      </c>
      <c r="B16" t="s">
        <v>10</v>
      </c>
      <c r="C16" t="s">
        <v>57</v>
      </c>
      <c r="D16" s="60">
        <v>32000</v>
      </c>
      <c r="E16" s="60"/>
      <c r="F16" s="2"/>
    </row>
    <row r="17" spans="1:6" x14ac:dyDescent="0.3">
      <c r="A17" s="4"/>
      <c r="B17" t="s">
        <v>10</v>
      </c>
      <c r="C17" t="s">
        <v>64</v>
      </c>
      <c r="D17" s="60"/>
      <c r="E17" s="60">
        <v>32000</v>
      </c>
      <c r="F17" s="2"/>
    </row>
    <row r="18" spans="1:6" x14ac:dyDescent="0.3">
      <c r="A18" s="4">
        <v>46085</v>
      </c>
      <c r="B18" t="s">
        <v>11</v>
      </c>
      <c r="C18" t="s">
        <v>66</v>
      </c>
      <c r="D18" s="60">
        <v>60000</v>
      </c>
      <c r="E18" s="60"/>
      <c r="F18" s="2"/>
    </row>
    <row r="19" spans="1:6" x14ac:dyDescent="0.3">
      <c r="A19" s="4"/>
      <c r="B19" t="s">
        <v>11</v>
      </c>
      <c r="C19" t="s">
        <v>64</v>
      </c>
      <c r="D19" s="60"/>
      <c r="E19" s="60">
        <v>60000</v>
      </c>
      <c r="F19" s="2"/>
    </row>
    <row r="20" spans="1:6" x14ac:dyDescent="0.3">
      <c r="A20" s="4">
        <v>46086</v>
      </c>
      <c r="B20" t="s">
        <v>12</v>
      </c>
      <c r="C20" t="s">
        <v>69</v>
      </c>
      <c r="D20" s="60">
        <v>12500</v>
      </c>
      <c r="E20" s="60"/>
      <c r="F20" s="2"/>
    </row>
    <row r="21" spans="1:6" x14ac:dyDescent="0.3">
      <c r="A21" s="4"/>
      <c r="B21" t="s">
        <v>12</v>
      </c>
      <c r="C21" t="s">
        <v>57</v>
      </c>
      <c r="D21" s="60"/>
      <c r="E21" s="60">
        <v>12500</v>
      </c>
      <c r="F21" s="2"/>
    </row>
    <row r="22" spans="1:6" x14ac:dyDescent="0.3">
      <c r="A22" s="4">
        <v>46087</v>
      </c>
      <c r="B22" t="s">
        <v>14</v>
      </c>
      <c r="C22" t="s">
        <v>68</v>
      </c>
      <c r="D22" s="60">
        <v>55000</v>
      </c>
      <c r="E22" s="60"/>
      <c r="F22" s="2"/>
    </row>
    <row r="23" spans="1:6" x14ac:dyDescent="0.3">
      <c r="A23" s="4"/>
      <c r="B23" t="s">
        <v>14</v>
      </c>
      <c r="C23" t="s">
        <v>57</v>
      </c>
      <c r="D23" s="60"/>
      <c r="E23" s="60">
        <v>55000</v>
      </c>
      <c r="F23" s="2"/>
    </row>
    <row r="24" spans="1:6" x14ac:dyDescent="0.3">
      <c r="A24" s="4">
        <v>46088</v>
      </c>
      <c r="B24" t="s">
        <v>16</v>
      </c>
      <c r="C24" t="s">
        <v>89</v>
      </c>
      <c r="D24" s="60">
        <v>25000</v>
      </c>
      <c r="E24" s="60"/>
      <c r="F24" s="2"/>
    </row>
    <row r="25" spans="1:6" x14ac:dyDescent="0.3">
      <c r="A25" s="4"/>
      <c r="B25" t="s">
        <v>16</v>
      </c>
      <c r="C25" t="s">
        <v>66</v>
      </c>
      <c r="D25" s="60"/>
      <c r="E25" s="60">
        <v>25000</v>
      </c>
      <c r="F25" s="2"/>
    </row>
    <row r="26" spans="1:6" x14ac:dyDescent="0.3">
      <c r="A26" s="4">
        <v>46089</v>
      </c>
      <c r="B26" t="s">
        <v>18</v>
      </c>
      <c r="C26" t="s">
        <v>76</v>
      </c>
      <c r="D26" s="60">
        <v>42000</v>
      </c>
      <c r="E26" s="60"/>
      <c r="F26" s="2"/>
    </row>
    <row r="27" spans="1:6" x14ac:dyDescent="0.3">
      <c r="A27" s="4"/>
      <c r="B27" t="s">
        <v>18</v>
      </c>
      <c r="C27" t="s">
        <v>57</v>
      </c>
      <c r="D27" s="60"/>
      <c r="E27" s="60">
        <v>42000</v>
      </c>
      <c r="F27" s="2"/>
    </row>
    <row r="28" spans="1:6" x14ac:dyDescent="0.3">
      <c r="A28" s="4">
        <v>46090</v>
      </c>
      <c r="B28" t="s">
        <v>19</v>
      </c>
      <c r="C28" t="s">
        <v>77</v>
      </c>
      <c r="D28" s="60">
        <v>4500</v>
      </c>
      <c r="E28" s="60"/>
      <c r="F28" s="2"/>
    </row>
    <row r="29" spans="1:6" x14ac:dyDescent="0.3">
      <c r="A29" s="4"/>
      <c r="B29" t="s">
        <v>19</v>
      </c>
      <c r="C29" t="s">
        <v>57</v>
      </c>
      <c r="D29" s="60"/>
      <c r="E29" s="60">
        <v>4500</v>
      </c>
      <c r="F29" s="2"/>
    </row>
    <row r="30" spans="1:6" x14ac:dyDescent="0.3">
      <c r="A30" s="4">
        <v>46091</v>
      </c>
      <c r="B30" t="s">
        <v>20</v>
      </c>
      <c r="C30" t="s">
        <v>65</v>
      </c>
      <c r="D30" s="60">
        <v>5000</v>
      </c>
      <c r="E30" s="60"/>
      <c r="F30" s="2"/>
    </row>
    <row r="31" spans="1:6" x14ac:dyDescent="0.3">
      <c r="A31" s="4"/>
      <c r="B31" t="s">
        <v>20</v>
      </c>
      <c r="C31" t="s">
        <v>135</v>
      </c>
      <c r="D31" s="60"/>
      <c r="E31" s="60">
        <v>5000</v>
      </c>
      <c r="F31" s="2"/>
    </row>
    <row r="32" spans="1:6" x14ac:dyDescent="0.3">
      <c r="A32" s="4">
        <v>46092</v>
      </c>
      <c r="B32" t="s">
        <v>80</v>
      </c>
      <c r="C32" t="s">
        <v>78</v>
      </c>
      <c r="D32" s="60">
        <v>48000</v>
      </c>
      <c r="E32" s="60"/>
      <c r="F32" s="2"/>
    </row>
    <row r="33" spans="1:6" x14ac:dyDescent="0.3">
      <c r="A33" s="4"/>
      <c r="B33" t="s">
        <v>80</v>
      </c>
      <c r="C33" t="s">
        <v>64</v>
      </c>
      <c r="D33" s="60"/>
      <c r="E33" s="60">
        <v>48000</v>
      </c>
      <c r="F33" s="2"/>
    </row>
    <row r="34" spans="1:6" x14ac:dyDescent="0.3">
      <c r="A34" s="4">
        <v>46093</v>
      </c>
      <c r="B34" t="s">
        <v>79</v>
      </c>
      <c r="C34" t="s">
        <v>89</v>
      </c>
      <c r="D34" s="60">
        <v>18000</v>
      </c>
      <c r="E34" s="60"/>
      <c r="F34" s="2"/>
    </row>
    <row r="35" spans="1:6" x14ac:dyDescent="0.3">
      <c r="A35" s="4"/>
      <c r="B35" t="s">
        <v>79</v>
      </c>
      <c r="C35" t="s">
        <v>78</v>
      </c>
      <c r="D35" s="60"/>
      <c r="E35" s="60">
        <v>18000</v>
      </c>
      <c r="F35" s="2"/>
    </row>
    <row r="36" spans="1:6" x14ac:dyDescent="0.3">
      <c r="A36" s="4">
        <v>46094</v>
      </c>
      <c r="B36" t="s">
        <v>25</v>
      </c>
      <c r="C36" t="s">
        <v>81</v>
      </c>
      <c r="D36" s="60">
        <v>30000</v>
      </c>
      <c r="E36" s="60"/>
      <c r="F36" s="2"/>
    </row>
    <row r="37" spans="1:6" x14ac:dyDescent="0.3">
      <c r="A37" s="4"/>
      <c r="B37" t="s">
        <v>25</v>
      </c>
      <c r="C37" t="s">
        <v>57</v>
      </c>
      <c r="D37" s="60"/>
      <c r="E37" s="60">
        <v>30000</v>
      </c>
      <c r="F37" s="2"/>
    </row>
    <row r="38" spans="1:6" x14ac:dyDescent="0.3">
      <c r="A38" s="4">
        <v>46095</v>
      </c>
      <c r="B38" t="s">
        <v>26</v>
      </c>
      <c r="C38" t="s">
        <v>82</v>
      </c>
      <c r="D38" s="60">
        <v>6800</v>
      </c>
      <c r="E38" s="60"/>
      <c r="F38" s="2"/>
    </row>
    <row r="39" spans="1:6" x14ac:dyDescent="0.3">
      <c r="A39" s="4"/>
      <c r="B39" t="s">
        <v>26</v>
      </c>
      <c r="C39" t="s">
        <v>57</v>
      </c>
      <c r="D39" s="60"/>
      <c r="E39" s="60">
        <v>6800</v>
      </c>
      <c r="F39" s="2"/>
    </row>
    <row r="40" spans="1:6" x14ac:dyDescent="0.3">
      <c r="A40" s="4">
        <v>46096</v>
      </c>
      <c r="B40" t="s">
        <v>27</v>
      </c>
      <c r="C40" t="s">
        <v>65</v>
      </c>
      <c r="D40" s="60">
        <v>20000</v>
      </c>
      <c r="E40" s="60"/>
      <c r="F40" s="2"/>
    </row>
    <row r="41" spans="1:6" x14ac:dyDescent="0.3">
      <c r="A41" s="4"/>
      <c r="B41" t="s">
        <v>27</v>
      </c>
      <c r="C41" t="s">
        <v>57</v>
      </c>
      <c r="D41" s="60"/>
      <c r="E41" s="60">
        <v>20000</v>
      </c>
      <c r="F41" s="2"/>
    </row>
    <row r="42" spans="1:6" x14ac:dyDescent="0.3">
      <c r="A42" s="4">
        <v>46097</v>
      </c>
      <c r="B42" t="s">
        <v>121</v>
      </c>
      <c r="C42" t="s">
        <v>90</v>
      </c>
      <c r="D42" s="60">
        <v>275000</v>
      </c>
      <c r="E42" s="60"/>
      <c r="F42" s="2"/>
    </row>
    <row r="43" spans="1:6" x14ac:dyDescent="0.3">
      <c r="A43" s="4"/>
      <c r="B43" t="s">
        <v>121</v>
      </c>
      <c r="C43" t="s">
        <v>64</v>
      </c>
      <c r="D43" s="60"/>
      <c r="E43" s="60">
        <v>275000</v>
      </c>
      <c r="F43" s="2"/>
    </row>
    <row r="44" spans="1:6" x14ac:dyDescent="0.3">
      <c r="A44" s="4">
        <v>46098</v>
      </c>
      <c r="B44" t="s">
        <v>29</v>
      </c>
      <c r="C44" t="s">
        <v>84</v>
      </c>
      <c r="D44" s="60">
        <v>3000</v>
      </c>
      <c r="E44" s="60"/>
      <c r="F44" s="2"/>
    </row>
    <row r="45" spans="1:6" x14ac:dyDescent="0.3">
      <c r="A45" s="4"/>
      <c r="B45" t="s">
        <v>29</v>
      </c>
      <c r="C45" t="s">
        <v>57</v>
      </c>
      <c r="D45" s="60"/>
      <c r="E45" s="60">
        <v>3000</v>
      </c>
      <c r="F45" s="2"/>
    </row>
    <row r="46" spans="1:6" x14ac:dyDescent="0.3">
      <c r="A46" s="4">
        <v>46099</v>
      </c>
      <c r="B46" t="s">
        <v>16</v>
      </c>
      <c r="C46" t="s">
        <v>89</v>
      </c>
      <c r="D46" s="60">
        <v>24000</v>
      </c>
      <c r="E46" s="60"/>
      <c r="F46" s="2"/>
    </row>
    <row r="47" spans="1:6" x14ac:dyDescent="0.3">
      <c r="A47" s="4"/>
      <c r="B47" t="s">
        <v>16</v>
      </c>
      <c r="C47" t="s">
        <v>66</v>
      </c>
      <c r="D47" s="60"/>
      <c r="E47" s="60">
        <v>24000</v>
      </c>
      <c r="F47" s="2"/>
    </row>
    <row r="48" spans="1:6" x14ac:dyDescent="0.3">
      <c r="A48" s="4">
        <v>46100</v>
      </c>
      <c r="B48" t="s">
        <v>32</v>
      </c>
      <c r="C48" t="s">
        <v>86</v>
      </c>
      <c r="D48" s="60">
        <v>3200</v>
      </c>
      <c r="E48" s="60"/>
      <c r="F48" s="2"/>
    </row>
    <row r="49" spans="1:6" x14ac:dyDescent="0.3">
      <c r="A49" s="4"/>
      <c r="B49" t="s">
        <v>32</v>
      </c>
      <c r="C49" t="s">
        <v>57</v>
      </c>
      <c r="D49" s="60"/>
      <c r="E49" s="60">
        <v>3200</v>
      </c>
      <c r="F49" s="2"/>
    </row>
    <row r="50" spans="1:6" x14ac:dyDescent="0.3">
      <c r="A50" s="4">
        <v>46101</v>
      </c>
      <c r="B50" t="s">
        <v>33</v>
      </c>
      <c r="C50" t="s">
        <v>76</v>
      </c>
      <c r="D50" s="60">
        <v>70000</v>
      </c>
      <c r="E50" s="60"/>
      <c r="F50" s="2"/>
    </row>
    <row r="51" spans="1:6" x14ac:dyDescent="0.3">
      <c r="A51" s="4"/>
      <c r="B51" t="s">
        <v>33</v>
      </c>
      <c r="C51" t="s">
        <v>87</v>
      </c>
      <c r="D51" s="60"/>
      <c r="E51" s="60">
        <v>70000</v>
      </c>
      <c r="F51" s="2"/>
    </row>
    <row r="52" spans="1:6" x14ac:dyDescent="0.3">
      <c r="A52" s="4">
        <v>46102</v>
      </c>
      <c r="B52" t="s">
        <v>34</v>
      </c>
      <c r="C52" t="s">
        <v>88</v>
      </c>
      <c r="D52" s="60">
        <v>9000</v>
      </c>
      <c r="E52" s="60"/>
      <c r="F52" s="2"/>
    </row>
    <row r="53" spans="1:6" x14ac:dyDescent="0.3">
      <c r="A53" s="4"/>
      <c r="B53" t="s">
        <v>34</v>
      </c>
      <c r="C53" t="s">
        <v>89</v>
      </c>
      <c r="D53" s="60"/>
      <c r="E53" s="60">
        <v>9000</v>
      </c>
      <c r="F53" s="2"/>
    </row>
    <row r="54" spans="1:6" x14ac:dyDescent="0.3">
      <c r="A54" s="4">
        <v>46103</v>
      </c>
      <c r="B54" t="s">
        <v>184</v>
      </c>
      <c r="C54" t="s">
        <v>89</v>
      </c>
      <c r="D54" s="60">
        <v>12000</v>
      </c>
      <c r="E54" s="60"/>
      <c r="F54" s="2"/>
    </row>
    <row r="55" spans="1:6" x14ac:dyDescent="0.3">
      <c r="A55" s="4"/>
      <c r="B55" t="s">
        <v>184</v>
      </c>
      <c r="C55" t="s">
        <v>78</v>
      </c>
      <c r="D55" s="60"/>
      <c r="E55" s="60">
        <v>12000</v>
      </c>
      <c r="F55" s="2"/>
    </row>
    <row r="56" spans="1:6" x14ac:dyDescent="0.3">
      <c r="A56" s="4">
        <v>46104</v>
      </c>
      <c r="B56" t="s">
        <v>37</v>
      </c>
      <c r="C56" t="s">
        <v>63</v>
      </c>
      <c r="D56" s="60">
        <v>10000</v>
      </c>
      <c r="E56" s="60"/>
      <c r="F56" s="2"/>
    </row>
    <row r="57" spans="1:6" x14ac:dyDescent="0.3">
      <c r="A57" s="4"/>
      <c r="B57" t="s">
        <v>37</v>
      </c>
      <c r="C57" t="s">
        <v>57</v>
      </c>
      <c r="D57" s="60"/>
      <c r="E57" s="60">
        <v>10000</v>
      </c>
      <c r="F57" s="2"/>
    </row>
    <row r="58" spans="1:6" x14ac:dyDescent="0.3">
      <c r="A58" s="4">
        <v>46105</v>
      </c>
      <c r="B58" t="s">
        <v>38</v>
      </c>
      <c r="C58" t="s">
        <v>119</v>
      </c>
      <c r="D58" s="60">
        <v>5500</v>
      </c>
      <c r="E58" s="60"/>
      <c r="F58" s="2"/>
    </row>
    <row r="59" spans="1:6" x14ac:dyDescent="0.3">
      <c r="A59" s="4"/>
      <c r="B59" t="s">
        <v>38</v>
      </c>
      <c r="C59" t="s">
        <v>57</v>
      </c>
      <c r="D59" s="60"/>
      <c r="E59" s="60">
        <v>5500</v>
      </c>
      <c r="F59" s="2"/>
    </row>
    <row r="60" spans="1:6" x14ac:dyDescent="0.3">
      <c r="A60" s="4">
        <v>46106</v>
      </c>
      <c r="B60" t="s">
        <v>39</v>
      </c>
      <c r="C60" t="s">
        <v>87</v>
      </c>
      <c r="D60" s="60">
        <v>15000</v>
      </c>
      <c r="E60" s="60"/>
      <c r="F60" s="2"/>
    </row>
    <row r="61" spans="1:6" x14ac:dyDescent="0.3">
      <c r="A61" s="4"/>
      <c r="B61" t="s">
        <v>39</v>
      </c>
      <c r="C61" t="s">
        <v>57</v>
      </c>
      <c r="D61" s="60"/>
      <c r="E61" s="60">
        <v>15000</v>
      </c>
      <c r="F61" s="2"/>
    </row>
    <row r="62" spans="1:6" x14ac:dyDescent="0.3">
      <c r="A62" s="4">
        <v>46107</v>
      </c>
      <c r="B62" t="s">
        <v>10</v>
      </c>
      <c r="C62" t="s">
        <v>57</v>
      </c>
      <c r="D62" s="60">
        <v>365000</v>
      </c>
      <c r="E62" s="60"/>
      <c r="F62" s="2"/>
    </row>
    <row r="63" spans="1:6" x14ac:dyDescent="0.3">
      <c r="A63" s="4"/>
      <c r="B63" t="s">
        <v>10</v>
      </c>
      <c r="C63" t="s">
        <v>64</v>
      </c>
      <c r="D63" s="60"/>
      <c r="E63" s="60">
        <v>365000</v>
      </c>
      <c r="F63" s="2"/>
    </row>
    <row r="64" spans="1:6" x14ac:dyDescent="0.3">
      <c r="A64" s="4">
        <v>46108</v>
      </c>
      <c r="B64" t="s">
        <v>185</v>
      </c>
      <c r="C64" t="s">
        <v>89</v>
      </c>
      <c r="D64" s="60">
        <v>12000</v>
      </c>
      <c r="E64" s="60"/>
      <c r="F64" s="2"/>
    </row>
    <row r="65" spans="1:6" x14ac:dyDescent="0.3">
      <c r="A65" s="4"/>
      <c r="B65" t="s">
        <v>185</v>
      </c>
      <c r="C65" t="s">
        <v>90</v>
      </c>
      <c r="D65" s="60"/>
      <c r="E65" s="60">
        <v>12000</v>
      </c>
      <c r="F65" s="2"/>
    </row>
    <row r="66" spans="1:6" x14ac:dyDescent="0.3">
      <c r="A66" s="4">
        <v>46109</v>
      </c>
      <c r="B66" t="s">
        <v>43</v>
      </c>
      <c r="C66" t="s">
        <v>91</v>
      </c>
      <c r="D66" s="60">
        <v>4000</v>
      </c>
      <c r="E66" s="60"/>
      <c r="F66" s="2"/>
    </row>
    <row r="67" spans="1:6" x14ac:dyDescent="0.3">
      <c r="A67" s="4"/>
      <c r="B67" t="s">
        <v>43</v>
      </c>
      <c r="C67" t="s">
        <v>89</v>
      </c>
      <c r="D67" s="60"/>
      <c r="E67" s="60">
        <v>4000</v>
      </c>
      <c r="F67" s="2"/>
    </row>
    <row r="68" spans="1:6" x14ac:dyDescent="0.3">
      <c r="A68" s="4">
        <v>46110</v>
      </c>
      <c r="B68" t="s">
        <v>18</v>
      </c>
      <c r="C68" t="s">
        <v>76</v>
      </c>
      <c r="D68" s="60">
        <v>28000</v>
      </c>
      <c r="E68" s="60"/>
      <c r="F68" s="2"/>
    </row>
    <row r="69" spans="1:6" x14ac:dyDescent="0.3">
      <c r="A69" s="4"/>
      <c r="B69" t="s">
        <v>18</v>
      </c>
      <c r="C69" t="s">
        <v>57</v>
      </c>
      <c r="D69" s="60"/>
      <c r="E69" s="60">
        <v>28000</v>
      </c>
      <c r="F69" s="2"/>
    </row>
    <row r="70" spans="1:6" x14ac:dyDescent="0.3">
      <c r="A70" s="4">
        <v>46111</v>
      </c>
      <c r="B70" t="s">
        <v>16</v>
      </c>
      <c r="C70" t="s">
        <v>89</v>
      </c>
      <c r="D70" s="60">
        <v>9000</v>
      </c>
      <c r="E70" s="60"/>
      <c r="F70" s="2"/>
    </row>
    <row r="71" spans="1:6" x14ac:dyDescent="0.3">
      <c r="A71" s="4"/>
      <c r="B71" t="s">
        <v>16</v>
      </c>
      <c r="C71" t="s">
        <v>66</v>
      </c>
      <c r="D71" s="60"/>
      <c r="E71" s="60">
        <v>9000</v>
      </c>
      <c r="F71" s="2"/>
    </row>
    <row r="72" spans="1:6" x14ac:dyDescent="0.3">
      <c r="A72" s="4">
        <v>46112</v>
      </c>
      <c r="B72" t="s">
        <v>46</v>
      </c>
      <c r="C72" t="s">
        <v>92</v>
      </c>
      <c r="D72" s="60">
        <v>1500</v>
      </c>
      <c r="E72" s="60"/>
      <c r="F72" s="2"/>
    </row>
    <row r="73" spans="1:6" x14ac:dyDescent="0.3">
      <c r="A73" s="4"/>
      <c r="B73" t="s">
        <v>46</v>
      </c>
      <c r="C73" t="s">
        <v>93</v>
      </c>
      <c r="D73" s="60"/>
      <c r="E73" s="60">
        <v>1500</v>
      </c>
      <c r="F73" s="2"/>
    </row>
  </sheetData>
  <mergeCells count="1">
    <mergeCell ref="A1:F8"/>
  </mergeCell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4F793A46-3B1D-4678-8CF2-3C5DA88D139E}">
          <x14:formula1>
            <xm:f>'CHARTS OF ACCOUNTS'!$B$3:$B$25</xm:f>
          </x14:formula1>
          <xm:sqref>C10:C30 C32:C73</xm:sqref>
        </x14:dataValidation>
        <x14:dataValidation type="list" allowBlank="1" showInputMessage="1" showErrorMessage="1" xr:uid="{8C437B01-6522-43B0-A72F-3BFF95C37220}">
          <x14:formula1>
            <xm:f>'CHARTS OF ACCOUNTS'!$B$3:$B$26</xm:f>
          </x14:formula1>
          <xm:sqref>C31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D882F-4806-42E9-BA75-9A7DE6174134}">
  <sheetPr>
    <tabColor theme="4" tint="-0.249977111117893"/>
  </sheetPr>
  <dimension ref="B1:F34"/>
  <sheetViews>
    <sheetView showGridLines="0" topLeftCell="C4" zoomScale="108" zoomScaleNormal="108" workbookViewId="0">
      <selection activeCell="C19" sqref="C19"/>
    </sheetView>
  </sheetViews>
  <sheetFormatPr defaultRowHeight="14.4" x14ac:dyDescent="0.3"/>
  <cols>
    <col min="2" max="2" width="42.88671875" bestFit="1" customWidth="1"/>
    <col min="3" max="3" width="36.21875" customWidth="1"/>
    <col min="4" max="4" width="12.33203125" bestFit="1" customWidth="1"/>
    <col min="5" max="5" width="13.5546875" bestFit="1" customWidth="1"/>
    <col min="6" max="6" width="15.44140625" bestFit="1" customWidth="1"/>
  </cols>
  <sheetData>
    <row r="1" spans="2:6" x14ac:dyDescent="0.3">
      <c r="B1" s="131"/>
      <c r="C1" s="131"/>
      <c r="D1" s="131"/>
      <c r="E1" s="131"/>
    </row>
    <row r="2" spans="2:6" x14ac:dyDescent="0.3">
      <c r="B2" s="131"/>
      <c r="C2" s="131"/>
      <c r="D2" s="131"/>
      <c r="E2" s="131"/>
    </row>
    <row r="3" spans="2:6" x14ac:dyDescent="0.3">
      <c r="B3" s="131"/>
      <c r="C3" s="131"/>
      <c r="D3" s="131"/>
      <c r="E3" s="131"/>
    </row>
    <row r="4" spans="2:6" x14ac:dyDescent="0.3">
      <c r="B4" s="131"/>
      <c r="C4" s="131"/>
      <c r="D4" s="131"/>
      <c r="E4" s="131"/>
    </row>
    <row r="5" spans="2:6" x14ac:dyDescent="0.3">
      <c r="B5" s="131"/>
      <c r="C5" s="131"/>
      <c r="D5" s="131"/>
      <c r="E5" s="131"/>
    </row>
    <row r="6" spans="2:6" x14ac:dyDescent="0.3">
      <c r="B6" s="131"/>
      <c r="C6" s="131"/>
      <c r="D6" s="131"/>
      <c r="E6" s="131"/>
    </row>
    <row r="7" spans="2:6" x14ac:dyDescent="0.3">
      <c r="B7" s="131"/>
      <c r="C7" s="131"/>
      <c r="D7" s="131"/>
      <c r="E7" s="131"/>
    </row>
    <row r="8" spans="2:6" x14ac:dyDescent="0.3">
      <c r="B8" s="131"/>
      <c r="C8" s="131"/>
      <c r="D8" s="131"/>
      <c r="E8" s="131"/>
    </row>
    <row r="9" spans="2:6" x14ac:dyDescent="0.3">
      <c r="B9" s="58" t="s">
        <v>61</v>
      </c>
      <c r="C9" s="58" t="s">
        <v>60</v>
      </c>
      <c r="D9" t="s">
        <v>95</v>
      </c>
      <c r="E9" t="s">
        <v>98</v>
      </c>
      <c r="F9" t="s">
        <v>99</v>
      </c>
    </row>
    <row r="10" spans="2:6" x14ac:dyDescent="0.3">
      <c r="B10" t="s">
        <v>90</v>
      </c>
      <c r="D10" s="11">
        <v>275000</v>
      </c>
      <c r="E10" s="11">
        <v>12000</v>
      </c>
      <c r="F10" s="11">
        <v>263000</v>
      </c>
    </row>
    <row r="11" spans="2:6" x14ac:dyDescent="0.3">
      <c r="B11" t="s">
        <v>88</v>
      </c>
      <c r="D11" s="11">
        <v>9000</v>
      </c>
      <c r="E11" s="11"/>
      <c r="F11" s="11">
        <v>9000</v>
      </c>
    </row>
    <row r="12" spans="2:6" x14ac:dyDescent="0.3">
      <c r="B12" t="s">
        <v>65</v>
      </c>
      <c r="D12" s="11">
        <v>25000</v>
      </c>
      <c r="E12" s="11"/>
      <c r="F12" s="11">
        <v>25000</v>
      </c>
    </row>
    <row r="13" spans="2:6" x14ac:dyDescent="0.3">
      <c r="B13" t="s">
        <v>93</v>
      </c>
      <c r="D13" s="11"/>
      <c r="E13" s="11">
        <v>1500</v>
      </c>
      <c r="F13" s="11">
        <v>-1500</v>
      </c>
    </row>
    <row r="14" spans="2:6" x14ac:dyDescent="0.3">
      <c r="B14" t="s">
        <v>89</v>
      </c>
      <c r="D14" s="11">
        <v>100000</v>
      </c>
      <c r="E14" s="11">
        <v>13000</v>
      </c>
      <c r="F14" s="11">
        <v>87000</v>
      </c>
    </row>
    <row r="15" spans="2:6" x14ac:dyDescent="0.3">
      <c r="B15" t="s">
        <v>66</v>
      </c>
      <c r="D15" s="11">
        <v>60000</v>
      </c>
      <c r="E15" s="11">
        <v>58000</v>
      </c>
      <c r="F15" s="11">
        <v>2000</v>
      </c>
    </row>
    <row r="16" spans="2:6" x14ac:dyDescent="0.3">
      <c r="B16" t="s">
        <v>63</v>
      </c>
      <c r="D16" s="11">
        <v>10000</v>
      </c>
      <c r="E16" s="11">
        <v>550000</v>
      </c>
      <c r="F16" s="11">
        <v>-540000</v>
      </c>
    </row>
    <row r="17" spans="2:6" x14ac:dyDescent="0.3">
      <c r="B17" t="s">
        <v>57</v>
      </c>
      <c r="D17" s="11">
        <v>947000</v>
      </c>
      <c r="E17" s="11">
        <v>360500</v>
      </c>
      <c r="F17" s="11">
        <v>586500</v>
      </c>
    </row>
    <row r="18" spans="2:6" x14ac:dyDescent="0.3">
      <c r="B18" t="s">
        <v>91</v>
      </c>
      <c r="D18" s="11">
        <v>4000</v>
      </c>
      <c r="E18" s="11"/>
      <c r="F18" s="11">
        <v>4000</v>
      </c>
    </row>
    <row r="19" spans="2:6" x14ac:dyDescent="0.3">
      <c r="B19" t="s">
        <v>92</v>
      </c>
      <c r="D19" s="11">
        <v>1500</v>
      </c>
      <c r="E19" s="11"/>
      <c r="F19" s="11">
        <v>1500</v>
      </c>
    </row>
    <row r="20" spans="2:6" x14ac:dyDescent="0.3">
      <c r="B20" t="s">
        <v>69</v>
      </c>
      <c r="D20" s="11">
        <v>12500</v>
      </c>
      <c r="E20" s="11"/>
      <c r="F20" s="11">
        <v>12500</v>
      </c>
    </row>
    <row r="21" spans="2:6" x14ac:dyDescent="0.3">
      <c r="B21" t="s">
        <v>77</v>
      </c>
      <c r="D21" s="11">
        <v>4500</v>
      </c>
      <c r="E21" s="11"/>
      <c r="F21" s="11">
        <v>4500</v>
      </c>
    </row>
    <row r="22" spans="2:6" x14ac:dyDescent="0.3">
      <c r="B22" t="s">
        <v>76</v>
      </c>
      <c r="D22" s="11">
        <v>225000</v>
      </c>
      <c r="E22" s="11"/>
      <c r="F22" s="11">
        <v>225000</v>
      </c>
    </row>
    <row r="23" spans="2:6" x14ac:dyDescent="0.3">
      <c r="B23" t="s">
        <v>135</v>
      </c>
      <c r="D23" s="11"/>
      <c r="E23" s="11">
        <v>5000</v>
      </c>
      <c r="F23" s="11">
        <v>-5000</v>
      </c>
    </row>
    <row r="24" spans="2:6" x14ac:dyDescent="0.3">
      <c r="B24" t="s">
        <v>87</v>
      </c>
      <c r="D24" s="11">
        <v>15000</v>
      </c>
      <c r="E24" s="11">
        <v>70000</v>
      </c>
      <c r="F24" s="11">
        <v>-55000</v>
      </c>
    </row>
    <row r="25" spans="2:6" x14ac:dyDescent="0.3">
      <c r="B25" t="s">
        <v>68</v>
      </c>
      <c r="D25" s="11">
        <v>55000</v>
      </c>
      <c r="E25" s="11"/>
      <c r="F25" s="11">
        <v>55000</v>
      </c>
    </row>
    <row r="26" spans="2:6" x14ac:dyDescent="0.3">
      <c r="B26" t="s">
        <v>70</v>
      </c>
      <c r="D26" s="11">
        <v>40000</v>
      </c>
      <c r="E26" s="11"/>
      <c r="F26" s="11">
        <v>40000</v>
      </c>
    </row>
    <row r="27" spans="2:6" x14ac:dyDescent="0.3">
      <c r="B27" t="s">
        <v>81</v>
      </c>
      <c r="D27" s="11">
        <v>30000</v>
      </c>
      <c r="E27" s="11"/>
      <c r="F27" s="11">
        <v>30000</v>
      </c>
    </row>
    <row r="28" spans="2:6" x14ac:dyDescent="0.3">
      <c r="B28" t="s">
        <v>64</v>
      </c>
      <c r="D28" s="11"/>
      <c r="E28" s="11">
        <v>780000</v>
      </c>
      <c r="F28" s="11">
        <v>-780000</v>
      </c>
    </row>
    <row r="29" spans="2:6" x14ac:dyDescent="0.3">
      <c r="B29" t="s">
        <v>84</v>
      </c>
      <c r="D29" s="11">
        <v>3000</v>
      </c>
      <c r="E29" s="11"/>
      <c r="F29" s="11">
        <v>3000</v>
      </c>
    </row>
    <row r="30" spans="2:6" x14ac:dyDescent="0.3">
      <c r="B30" t="s">
        <v>78</v>
      </c>
      <c r="D30" s="11">
        <v>48000</v>
      </c>
      <c r="E30" s="11">
        <v>30000</v>
      </c>
      <c r="F30" s="11">
        <v>18000</v>
      </c>
    </row>
    <row r="31" spans="2:6" x14ac:dyDescent="0.3">
      <c r="B31" t="s">
        <v>82</v>
      </c>
      <c r="D31" s="11">
        <v>6800</v>
      </c>
      <c r="E31" s="11"/>
      <c r="F31" s="11">
        <v>6800</v>
      </c>
    </row>
    <row r="32" spans="2:6" x14ac:dyDescent="0.3">
      <c r="B32" t="s">
        <v>119</v>
      </c>
      <c r="D32" s="11">
        <v>5500</v>
      </c>
      <c r="E32" s="11"/>
      <c r="F32" s="11">
        <v>5500</v>
      </c>
    </row>
    <row r="33" spans="2:6" x14ac:dyDescent="0.3">
      <c r="B33" t="s">
        <v>86</v>
      </c>
      <c r="D33" s="11">
        <v>3200</v>
      </c>
      <c r="E33" s="11"/>
      <c r="F33" s="11">
        <v>3200</v>
      </c>
    </row>
    <row r="34" spans="2:6" x14ac:dyDescent="0.3">
      <c r="B34" t="s">
        <v>97</v>
      </c>
      <c r="D34" s="11">
        <v>1880000</v>
      </c>
      <c r="E34" s="11">
        <v>1880000</v>
      </c>
      <c r="F34" s="11">
        <v>0</v>
      </c>
    </row>
  </sheetData>
  <mergeCells count="1">
    <mergeCell ref="B1:E8"/>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3C202-7063-475C-9823-B2C8DF92CB25}">
  <sheetPr codeName="Sheet4">
    <tabColor theme="4" tint="-0.249977111117893"/>
  </sheetPr>
  <dimension ref="A1:J34"/>
  <sheetViews>
    <sheetView showGridLines="0" topLeftCell="A10" zoomScale="149" zoomScaleNormal="198" workbookViewId="0">
      <selection activeCell="C10" sqref="C10:D34"/>
    </sheetView>
  </sheetViews>
  <sheetFormatPr defaultRowHeight="14.4" x14ac:dyDescent="0.3"/>
  <cols>
    <col min="2" max="2" width="39" bestFit="1" customWidth="1"/>
    <col min="3" max="3" width="12.33203125" bestFit="1" customWidth="1"/>
    <col min="4" max="4" width="13.5546875" bestFit="1" customWidth="1"/>
    <col min="5" max="5" width="15.44140625" bestFit="1" customWidth="1"/>
  </cols>
  <sheetData>
    <row r="1" spans="1:8" x14ac:dyDescent="0.3">
      <c r="A1" s="131"/>
      <c r="B1" s="131"/>
      <c r="C1" s="131"/>
      <c r="D1" s="131"/>
      <c r="E1" s="131"/>
      <c r="F1" s="131"/>
      <c r="G1" s="131"/>
      <c r="H1" s="131"/>
    </row>
    <row r="2" spans="1:8" x14ac:dyDescent="0.3">
      <c r="A2" s="131"/>
      <c r="B2" s="131"/>
      <c r="C2" s="131"/>
      <c r="D2" s="131"/>
      <c r="E2" s="131"/>
      <c r="F2" s="131"/>
      <c r="G2" s="131"/>
      <c r="H2" s="131"/>
    </row>
    <row r="3" spans="1:8" x14ac:dyDescent="0.3">
      <c r="A3" s="131"/>
      <c r="B3" s="131"/>
      <c r="C3" s="131"/>
      <c r="D3" s="131"/>
      <c r="E3" s="131"/>
      <c r="F3" s="131"/>
      <c r="G3" s="131"/>
      <c r="H3" s="131"/>
    </row>
    <row r="4" spans="1:8" x14ac:dyDescent="0.3">
      <c r="A4" s="131"/>
      <c r="B4" s="131"/>
      <c r="C4" s="131"/>
      <c r="D4" s="131"/>
      <c r="E4" s="131"/>
      <c r="F4" s="131"/>
      <c r="G4" s="131"/>
      <c r="H4" s="131"/>
    </row>
    <row r="5" spans="1:8" x14ac:dyDescent="0.3">
      <c r="A5" s="131"/>
      <c r="B5" s="131"/>
      <c r="C5" s="131"/>
      <c r="D5" s="131"/>
      <c r="E5" s="131"/>
      <c r="F5" s="131"/>
      <c r="G5" s="131"/>
      <c r="H5" s="131"/>
    </row>
    <row r="6" spans="1:8" x14ac:dyDescent="0.3">
      <c r="A6" s="131"/>
      <c r="B6" s="131"/>
      <c r="C6" s="131"/>
      <c r="D6" s="131"/>
      <c r="E6" s="131"/>
      <c r="F6" s="131"/>
      <c r="G6" s="131"/>
      <c r="H6" s="131"/>
    </row>
    <row r="7" spans="1:8" x14ac:dyDescent="0.3">
      <c r="A7" s="131"/>
      <c r="B7" s="131"/>
      <c r="C7" s="131"/>
      <c r="D7" s="131"/>
      <c r="E7" s="131"/>
      <c r="F7" s="131"/>
      <c r="G7" s="131"/>
      <c r="H7" s="131"/>
    </row>
    <row r="8" spans="1:8" x14ac:dyDescent="0.3">
      <c r="A8" s="131"/>
      <c r="B8" s="131"/>
      <c r="C8" s="131"/>
      <c r="D8" s="131"/>
      <c r="E8" s="131"/>
      <c r="F8" s="131"/>
      <c r="G8" s="131"/>
      <c r="H8" s="131"/>
    </row>
    <row r="9" spans="1:8" x14ac:dyDescent="0.3">
      <c r="B9" s="12" t="s">
        <v>96</v>
      </c>
      <c r="C9" s="9" t="s">
        <v>95</v>
      </c>
      <c r="D9" s="10" t="s">
        <v>98</v>
      </c>
    </row>
    <row r="10" spans="1:8" x14ac:dyDescent="0.3">
      <c r="B10" s="5" t="s">
        <v>90</v>
      </c>
      <c r="C10" s="63">
        <v>275000</v>
      </c>
      <c r="D10" s="64">
        <v>12000</v>
      </c>
    </row>
    <row r="11" spans="1:8" x14ac:dyDescent="0.3">
      <c r="B11" s="6" t="s">
        <v>88</v>
      </c>
      <c r="C11" s="65">
        <v>9000</v>
      </c>
      <c r="D11" s="61"/>
    </row>
    <row r="12" spans="1:8" x14ac:dyDescent="0.3">
      <c r="B12" s="6" t="s">
        <v>65</v>
      </c>
      <c r="C12" s="65">
        <v>25000</v>
      </c>
      <c r="D12" s="61"/>
    </row>
    <row r="13" spans="1:8" x14ac:dyDescent="0.3">
      <c r="B13" s="6" t="s">
        <v>93</v>
      </c>
      <c r="C13" s="65"/>
      <c r="D13" s="61">
        <v>1500</v>
      </c>
    </row>
    <row r="14" spans="1:8" x14ac:dyDescent="0.3">
      <c r="B14" s="6" t="s">
        <v>89</v>
      </c>
      <c r="C14" s="65">
        <v>100000</v>
      </c>
      <c r="D14" s="61">
        <v>13000</v>
      </c>
    </row>
    <row r="15" spans="1:8" x14ac:dyDescent="0.3">
      <c r="B15" s="6" t="s">
        <v>66</v>
      </c>
      <c r="C15" s="65">
        <v>60000</v>
      </c>
      <c r="D15" s="61">
        <v>58000</v>
      </c>
    </row>
    <row r="16" spans="1:8" x14ac:dyDescent="0.3">
      <c r="B16" s="6" t="s">
        <v>63</v>
      </c>
      <c r="C16" s="65">
        <v>10000</v>
      </c>
      <c r="D16" s="61">
        <v>550000</v>
      </c>
    </row>
    <row r="17" spans="2:10" x14ac:dyDescent="0.3">
      <c r="B17" s="6" t="s">
        <v>57</v>
      </c>
      <c r="C17" s="65">
        <v>947000</v>
      </c>
      <c r="D17" s="61">
        <v>360500</v>
      </c>
    </row>
    <row r="18" spans="2:10" x14ac:dyDescent="0.3">
      <c r="B18" s="6" t="s">
        <v>91</v>
      </c>
      <c r="C18" s="65">
        <v>4000</v>
      </c>
      <c r="D18" s="61"/>
    </row>
    <row r="19" spans="2:10" x14ac:dyDescent="0.3">
      <c r="B19" s="6" t="s">
        <v>92</v>
      </c>
      <c r="C19" s="65">
        <v>1500</v>
      </c>
      <c r="D19" s="61"/>
      <c r="J19" t="s">
        <v>100</v>
      </c>
    </row>
    <row r="20" spans="2:10" x14ac:dyDescent="0.3">
      <c r="B20" s="6" t="s">
        <v>69</v>
      </c>
      <c r="C20" s="65">
        <v>12500</v>
      </c>
      <c r="D20" s="61"/>
    </row>
    <row r="21" spans="2:10" x14ac:dyDescent="0.3">
      <c r="B21" s="6" t="s">
        <v>77</v>
      </c>
      <c r="C21" s="65">
        <v>4500</v>
      </c>
      <c r="D21" s="61"/>
    </row>
    <row r="22" spans="2:10" x14ac:dyDescent="0.3">
      <c r="B22" s="6" t="s">
        <v>76</v>
      </c>
      <c r="C22" s="65">
        <v>225000</v>
      </c>
      <c r="D22" s="61"/>
    </row>
    <row r="23" spans="2:10" x14ac:dyDescent="0.3">
      <c r="B23" s="6" t="s">
        <v>87</v>
      </c>
      <c r="C23" s="65">
        <v>15000</v>
      </c>
      <c r="D23" s="61">
        <v>70000</v>
      </c>
    </row>
    <row r="24" spans="2:10" x14ac:dyDescent="0.3">
      <c r="B24" s="6" t="s">
        <v>68</v>
      </c>
      <c r="C24" s="65">
        <v>55000</v>
      </c>
      <c r="D24" s="61"/>
    </row>
    <row r="25" spans="2:10" x14ac:dyDescent="0.3">
      <c r="B25" s="6" t="s">
        <v>70</v>
      </c>
      <c r="C25" s="65">
        <v>40000</v>
      </c>
      <c r="D25" s="61"/>
    </row>
    <row r="26" spans="2:10" x14ac:dyDescent="0.3">
      <c r="B26" s="6" t="s">
        <v>81</v>
      </c>
      <c r="C26" s="65">
        <v>30000</v>
      </c>
      <c r="D26" s="61"/>
    </row>
    <row r="27" spans="2:10" x14ac:dyDescent="0.3">
      <c r="B27" s="6" t="s">
        <v>64</v>
      </c>
      <c r="C27" s="65"/>
      <c r="D27" s="61">
        <v>780000</v>
      </c>
    </row>
    <row r="28" spans="2:10" x14ac:dyDescent="0.3">
      <c r="B28" s="6" t="s">
        <v>84</v>
      </c>
      <c r="C28" s="65">
        <v>3000</v>
      </c>
      <c r="D28" s="61"/>
    </row>
    <row r="29" spans="2:10" x14ac:dyDescent="0.3">
      <c r="B29" s="6" t="s">
        <v>78</v>
      </c>
      <c r="C29" s="65">
        <v>48000</v>
      </c>
      <c r="D29" s="61">
        <v>30000</v>
      </c>
    </row>
    <row r="30" spans="2:10" x14ac:dyDescent="0.3">
      <c r="B30" s="6" t="s">
        <v>82</v>
      </c>
      <c r="C30" s="65">
        <v>6800</v>
      </c>
      <c r="D30" s="61"/>
    </row>
    <row r="31" spans="2:10" x14ac:dyDescent="0.3">
      <c r="B31" s="6" t="s">
        <v>86</v>
      </c>
      <c r="C31" s="65">
        <v>3200</v>
      </c>
      <c r="D31" s="61"/>
    </row>
    <row r="32" spans="2:10" x14ac:dyDescent="0.3">
      <c r="B32" s="6" t="s">
        <v>135</v>
      </c>
      <c r="C32" s="65"/>
      <c r="D32" s="61">
        <v>5000</v>
      </c>
    </row>
    <row r="33" spans="2:4" x14ac:dyDescent="0.3">
      <c r="B33" s="7" t="s">
        <v>119</v>
      </c>
      <c r="C33" s="65">
        <v>5500</v>
      </c>
      <c r="D33" s="61"/>
    </row>
    <row r="34" spans="2:4" x14ac:dyDescent="0.3">
      <c r="B34" s="8" t="s">
        <v>97</v>
      </c>
      <c r="C34" s="66">
        <v>1880000</v>
      </c>
      <c r="D34" s="62">
        <v>1880000</v>
      </c>
    </row>
  </sheetData>
  <mergeCells count="1">
    <mergeCell ref="A1:H8"/>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661E7-E252-4CE3-A316-362C1928A0E6}">
  <sheetPr>
    <tabColor theme="4" tint="-0.249977111117893"/>
  </sheetPr>
  <dimension ref="B1:L38"/>
  <sheetViews>
    <sheetView showGridLines="0" topLeftCell="A6" zoomScale="75" workbookViewId="0">
      <selection activeCell="N18" sqref="N18"/>
    </sheetView>
  </sheetViews>
  <sheetFormatPr defaultRowHeight="14.4" x14ac:dyDescent="0.3"/>
  <cols>
    <col min="1" max="1" width="3.33203125" customWidth="1"/>
    <col min="2" max="2" width="12.44140625" bestFit="1" customWidth="1"/>
    <col min="3" max="3" width="31.6640625" customWidth="1"/>
    <col min="4" max="4" width="12.44140625" customWidth="1"/>
    <col min="5" max="5" width="15.21875" customWidth="1"/>
    <col min="6" max="6" width="1.33203125" customWidth="1"/>
    <col min="7" max="7" width="12" bestFit="1" customWidth="1"/>
    <col min="8" max="8" width="35.77734375" bestFit="1" customWidth="1"/>
    <col min="9" max="9" width="15" bestFit="1" customWidth="1"/>
    <col min="10" max="10" width="15.109375" customWidth="1"/>
    <col min="12" max="12" width="12.109375" customWidth="1"/>
  </cols>
  <sheetData>
    <row r="1" spans="2:12" hidden="1" x14ac:dyDescent="0.3"/>
    <row r="2" spans="2:12" hidden="1" x14ac:dyDescent="0.3"/>
    <row r="3" spans="2:12" hidden="1" x14ac:dyDescent="0.3"/>
    <row r="4" spans="2:12" hidden="1" x14ac:dyDescent="0.3"/>
    <row r="5" spans="2:12" ht="15" hidden="1" thickBot="1" x14ac:dyDescent="0.35"/>
    <row r="6" spans="2:12" ht="15.6" thickTop="1" thickBot="1" x14ac:dyDescent="0.35">
      <c r="B6" s="133" t="s">
        <v>147</v>
      </c>
      <c r="C6" s="133"/>
      <c r="D6" s="133"/>
      <c r="E6" s="133"/>
      <c r="G6" s="133" t="s">
        <v>148</v>
      </c>
      <c r="H6" s="133"/>
      <c r="I6" s="133"/>
      <c r="J6" s="133"/>
    </row>
    <row r="7" spans="2:12" ht="15.6" thickTop="1" thickBot="1" x14ac:dyDescent="0.35">
      <c r="B7" s="134" t="s">
        <v>153</v>
      </c>
      <c r="C7" s="135"/>
      <c r="D7" s="136"/>
      <c r="E7" s="45">
        <f>SUM(Table3[CASH])</f>
        <v>1894000</v>
      </c>
      <c r="G7" s="140" t="s">
        <v>153</v>
      </c>
      <c r="H7" s="140"/>
      <c r="I7" s="140"/>
      <c r="J7" s="45">
        <f>SUM(Table3[[CASH ]])</f>
        <v>1307500</v>
      </c>
      <c r="L7" s="60"/>
    </row>
    <row r="8" spans="2:12" ht="15.6" thickTop="1" thickBot="1" x14ac:dyDescent="0.35">
      <c r="B8" s="134" t="s">
        <v>154</v>
      </c>
      <c r="C8" s="135"/>
      <c r="D8" s="136"/>
      <c r="E8" s="45">
        <f>SUM(Table3[BANK])</f>
        <v>200000</v>
      </c>
      <c r="G8" s="140" t="s">
        <v>154</v>
      </c>
      <c r="H8" s="140"/>
      <c r="I8" s="140"/>
      <c r="J8" s="45">
        <f>SUM(Table3[[BANK ]])</f>
        <v>113000</v>
      </c>
      <c r="L8" s="60"/>
    </row>
    <row r="9" spans="2:12" ht="15.6" thickTop="1" thickBot="1" x14ac:dyDescent="0.35">
      <c r="B9" s="137" t="s">
        <v>155</v>
      </c>
      <c r="C9" s="138"/>
      <c r="D9" s="139"/>
      <c r="E9" s="48">
        <f>SUM(E7:E8)</f>
        <v>2094000</v>
      </c>
      <c r="G9" s="141" t="s">
        <v>155</v>
      </c>
      <c r="H9" s="141"/>
      <c r="I9" s="141"/>
      <c r="J9" s="48">
        <f>SUM(J7:J8)</f>
        <v>1420500</v>
      </c>
    </row>
    <row r="10" spans="2:12" ht="23.4" customHeight="1" thickBot="1" x14ac:dyDescent="0.35">
      <c r="B10" s="142"/>
      <c r="C10" s="143"/>
      <c r="D10" s="143"/>
      <c r="E10" s="143"/>
      <c r="F10" s="49"/>
      <c r="G10" s="144"/>
      <c r="H10" s="143"/>
      <c r="I10" s="143"/>
      <c r="J10" s="145"/>
    </row>
    <row r="11" spans="2:12" ht="15" thickBot="1" x14ac:dyDescent="0.35">
      <c r="B11" s="132" t="s">
        <v>147</v>
      </c>
      <c r="C11" s="132"/>
      <c r="D11" s="132"/>
      <c r="E11" s="132"/>
      <c r="G11" s="132" t="s">
        <v>148</v>
      </c>
      <c r="H11" s="132"/>
      <c r="I11" s="132"/>
      <c r="J11" s="132"/>
    </row>
    <row r="12" spans="2:12" ht="30.6" customHeight="1" thickTop="1" thickBot="1" x14ac:dyDescent="0.35">
      <c r="B12" s="42" t="s">
        <v>59</v>
      </c>
      <c r="C12" s="40" t="s">
        <v>146</v>
      </c>
      <c r="D12" s="40" t="s">
        <v>57</v>
      </c>
      <c r="E12" s="40" t="s">
        <v>89</v>
      </c>
      <c r="F12" t="s">
        <v>100</v>
      </c>
      <c r="G12" s="40" t="s">
        <v>149</v>
      </c>
      <c r="H12" s="40" t="s">
        <v>150</v>
      </c>
      <c r="I12" s="40" t="s">
        <v>151</v>
      </c>
      <c r="J12" s="127" t="s">
        <v>152</v>
      </c>
    </row>
    <row r="13" spans="2:12" ht="15.6" thickTop="1" thickBot="1" x14ac:dyDescent="0.35">
      <c r="B13" s="50">
        <v>46082</v>
      </c>
      <c r="C13" s="41" t="s">
        <v>156</v>
      </c>
      <c r="D13" s="46">
        <v>0</v>
      </c>
      <c r="E13" s="46"/>
      <c r="G13" s="52"/>
      <c r="H13" s="53"/>
      <c r="I13" s="54"/>
      <c r="J13" s="123"/>
    </row>
    <row r="14" spans="2:12" ht="15.6" thickTop="1" thickBot="1" x14ac:dyDescent="0.35">
      <c r="B14" s="50">
        <v>46082</v>
      </c>
      <c r="C14" s="41" t="s">
        <v>5</v>
      </c>
      <c r="D14" s="46">
        <v>550000</v>
      </c>
      <c r="E14" s="46"/>
      <c r="G14" s="50">
        <v>46082</v>
      </c>
      <c r="H14" s="41" t="s">
        <v>7</v>
      </c>
      <c r="I14" s="46">
        <v>40000</v>
      </c>
      <c r="J14" s="124"/>
    </row>
    <row r="15" spans="2:12" ht="15.6" thickTop="1" thickBot="1" x14ac:dyDescent="0.35">
      <c r="B15" s="50">
        <v>46084</v>
      </c>
      <c r="C15" s="41" t="s">
        <v>10</v>
      </c>
      <c r="D15" s="46">
        <v>32000</v>
      </c>
      <c r="E15" s="46"/>
      <c r="G15" s="50">
        <v>46083</v>
      </c>
      <c r="H15" s="41" t="s">
        <v>8</v>
      </c>
      <c r="I15" s="46">
        <v>85000</v>
      </c>
      <c r="J15" s="124"/>
    </row>
    <row r="16" spans="2:12" ht="15.6" thickTop="1" thickBot="1" x14ac:dyDescent="0.35">
      <c r="B16" s="50">
        <v>46088</v>
      </c>
      <c r="C16" s="41" t="s">
        <v>16</v>
      </c>
      <c r="D16" s="46"/>
      <c r="E16" s="46">
        <v>25000</v>
      </c>
      <c r="G16" s="51">
        <v>46086</v>
      </c>
      <c r="H16" s="41" t="s">
        <v>12</v>
      </c>
      <c r="I16" s="47">
        <v>12500</v>
      </c>
      <c r="J16" s="124"/>
    </row>
    <row r="17" spans="2:10" ht="15.6" thickTop="1" thickBot="1" x14ac:dyDescent="0.35">
      <c r="B17" s="50">
        <v>46093</v>
      </c>
      <c r="C17" s="41" t="s">
        <v>79</v>
      </c>
      <c r="D17" s="46"/>
      <c r="E17" s="46">
        <v>18000</v>
      </c>
      <c r="G17" s="51">
        <v>46087</v>
      </c>
      <c r="H17" s="41" t="s">
        <v>14</v>
      </c>
      <c r="I17" s="47">
        <v>55000</v>
      </c>
      <c r="J17" s="124"/>
    </row>
    <row r="18" spans="2:10" ht="15.6" thickTop="1" thickBot="1" x14ac:dyDescent="0.35">
      <c r="B18" s="51">
        <v>46099</v>
      </c>
      <c r="C18" s="41" t="s">
        <v>16</v>
      </c>
      <c r="D18" s="47"/>
      <c r="E18" s="47">
        <v>24000</v>
      </c>
      <c r="G18" s="50">
        <v>46089</v>
      </c>
      <c r="H18" s="41" t="s">
        <v>18</v>
      </c>
      <c r="I18" s="46">
        <v>42000</v>
      </c>
      <c r="J18" s="124"/>
    </row>
    <row r="19" spans="2:10" ht="15.6" thickTop="1" thickBot="1" x14ac:dyDescent="0.35">
      <c r="B19" s="50">
        <v>46103</v>
      </c>
      <c r="C19" s="41" t="s">
        <v>23</v>
      </c>
      <c r="D19" s="46"/>
      <c r="E19" s="46">
        <v>12000</v>
      </c>
      <c r="G19" s="51">
        <v>46090</v>
      </c>
      <c r="H19" s="41" t="s">
        <v>19</v>
      </c>
      <c r="I19" s="47">
        <v>4500</v>
      </c>
      <c r="J19" s="124"/>
    </row>
    <row r="20" spans="2:10" ht="15.6" thickTop="1" thickBot="1" x14ac:dyDescent="0.35">
      <c r="B20" s="50">
        <v>46107</v>
      </c>
      <c r="C20" s="41" t="s">
        <v>10</v>
      </c>
      <c r="D20" s="46">
        <v>365000</v>
      </c>
      <c r="E20" s="46"/>
      <c r="G20" s="51">
        <v>46094</v>
      </c>
      <c r="H20" s="41" t="s">
        <v>25</v>
      </c>
      <c r="I20" s="47">
        <v>30000</v>
      </c>
      <c r="J20" s="124"/>
    </row>
    <row r="21" spans="2:10" ht="15.6" thickTop="1" thickBot="1" x14ac:dyDescent="0.35">
      <c r="B21" s="50">
        <v>46108</v>
      </c>
      <c r="C21" s="41" t="s">
        <v>41</v>
      </c>
      <c r="D21" s="46"/>
      <c r="E21" s="46">
        <v>12000</v>
      </c>
      <c r="G21" s="51">
        <v>46095</v>
      </c>
      <c r="H21" s="41" t="s">
        <v>26</v>
      </c>
      <c r="I21" s="47">
        <v>6800</v>
      </c>
      <c r="J21" s="124"/>
    </row>
    <row r="22" spans="2:10" ht="15.6" thickTop="1" thickBot="1" x14ac:dyDescent="0.35">
      <c r="B22" s="50">
        <v>46111</v>
      </c>
      <c r="C22" s="41" t="s">
        <v>16</v>
      </c>
      <c r="D22" s="46"/>
      <c r="E22" s="46">
        <v>9000</v>
      </c>
      <c r="G22" s="51">
        <v>46096</v>
      </c>
      <c r="H22" s="41" t="s">
        <v>27</v>
      </c>
      <c r="I22" s="47">
        <v>20000</v>
      </c>
      <c r="J22" s="124"/>
    </row>
    <row r="23" spans="2:10" ht="15.6" thickTop="1" thickBot="1" x14ac:dyDescent="0.35">
      <c r="B23" s="50"/>
      <c r="C23" s="41"/>
      <c r="D23" s="46"/>
      <c r="E23" s="46"/>
      <c r="G23" s="51">
        <v>46098</v>
      </c>
      <c r="H23" s="41" t="s">
        <v>29</v>
      </c>
      <c r="I23" s="47">
        <v>3000</v>
      </c>
      <c r="J23" s="124"/>
    </row>
    <row r="24" spans="2:10" ht="15.6" thickTop="1" thickBot="1" x14ac:dyDescent="0.35">
      <c r="B24" s="50"/>
      <c r="C24" s="41"/>
      <c r="D24" s="46"/>
      <c r="E24" s="46"/>
      <c r="G24" s="51">
        <v>46100</v>
      </c>
      <c r="H24" s="41" t="s">
        <v>32</v>
      </c>
      <c r="I24" s="47">
        <v>3200</v>
      </c>
      <c r="J24" s="124"/>
    </row>
    <row r="25" spans="2:10" ht="15.6" thickTop="1" thickBot="1" x14ac:dyDescent="0.35">
      <c r="B25" s="50"/>
      <c r="C25" s="41"/>
      <c r="D25" s="46"/>
      <c r="E25" s="46"/>
      <c r="G25" s="51">
        <v>46102</v>
      </c>
      <c r="H25" s="41" t="s">
        <v>34</v>
      </c>
      <c r="I25" s="47"/>
      <c r="J25" s="124">
        <v>9000</v>
      </c>
    </row>
    <row r="26" spans="2:10" ht="15.6" thickTop="1" thickBot="1" x14ac:dyDescent="0.35">
      <c r="B26" s="50"/>
      <c r="C26" s="41"/>
      <c r="D26" s="46"/>
      <c r="E26" s="46"/>
      <c r="G26" s="51">
        <v>46104</v>
      </c>
      <c r="H26" s="41" t="s">
        <v>37</v>
      </c>
      <c r="I26" s="47">
        <v>10000</v>
      </c>
      <c r="J26" s="124"/>
    </row>
    <row r="27" spans="2:10" ht="15.6" thickTop="1" thickBot="1" x14ac:dyDescent="0.35">
      <c r="B27" s="50"/>
      <c r="C27" s="41"/>
      <c r="D27" s="46"/>
      <c r="E27" s="46"/>
      <c r="G27" s="51">
        <v>46105</v>
      </c>
      <c r="H27" s="41" t="s">
        <v>38</v>
      </c>
      <c r="I27" s="47">
        <v>5500</v>
      </c>
      <c r="J27" s="124"/>
    </row>
    <row r="28" spans="2:10" ht="15.6" thickTop="1" thickBot="1" x14ac:dyDescent="0.35">
      <c r="B28" s="50"/>
      <c r="C28" s="41"/>
      <c r="D28" s="46"/>
      <c r="E28" s="46"/>
      <c r="G28" s="51">
        <v>46106</v>
      </c>
      <c r="H28" s="41" t="s">
        <v>39</v>
      </c>
      <c r="I28" s="47">
        <v>15000</v>
      </c>
      <c r="J28" s="124"/>
    </row>
    <row r="29" spans="2:10" ht="15.6" thickTop="1" thickBot="1" x14ac:dyDescent="0.35">
      <c r="B29" s="55"/>
      <c r="C29" s="44"/>
      <c r="D29" s="56"/>
      <c r="E29" s="56"/>
      <c r="F29" s="43"/>
      <c r="G29" s="51">
        <v>46109</v>
      </c>
      <c r="H29" s="41" t="s">
        <v>43</v>
      </c>
      <c r="I29" s="47"/>
      <c r="J29" s="124">
        <v>4000</v>
      </c>
    </row>
    <row r="30" spans="2:10" ht="15.6" thickTop="1" thickBot="1" x14ac:dyDescent="0.35">
      <c r="B30" s="50"/>
      <c r="C30" s="41"/>
      <c r="D30" s="46"/>
      <c r="E30" s="46"/>
      <c r="F30" s="43"/>
      <c r="G30" s="51">
        <v>46110</v>
      </c>
      <c r="H30" s="41" t="s">
        <v>18</v>
      </c>
      <c r="I30" s="47">
        <v>28000</v>
      </c>
      <c r="J30" s="124"/>
    </row>
    <row r="31" spans="2:10" ht="15.6" thickTop="1" thickBot="1" x14ac:dyDescent="0.35">
      <c r="B31" s="50"/>
      <c r="C31" s="41"/>
      <c r="D31" s="46"/>
      <c r="E31" s="46"/>
      <c r="F31" s="43"/>
      <c r="G31" s="51"/>
      <c r="H31" s="41"/>
      <c r="I31" s="47"/>
      <c r="J31" s="124"/>
    </row>
    <row r="32" spans="2:10" ht="15.6" thickTop="1" thickBot="1" x14ac:dyDescent="0.35">
      <c r="B32" s="55"/>
      <c r="C32" s="44"/>
      <c r="D32" s="56"/>
      <c r="E32" s="56"/>
      <c r="F32" s="43"/>
      <c r="G32" s="57"/>
      <c r="H32" s="44"/>
      <c r="I32" s="59"/>
      <c r="J32" s="125"/>
    </row>
    <row r="33" spans="2:10" ht="15.6" thickTop="1" thickBot="1" x14ac:dyDescent="0.35">
      <c r="B33" s="55"/>
      <c r="C33" s="44"/>
      <c r="D33" s="56"/>
      <c r="E33" s="56"/>
      <c r="F33" s="43"/>
      <c r="G33" s="57"/>
      <c r="H33" s="44"/>
      <c r="I33" s="59"/>
      <c r="J33" s="59"/>
    </row>
    <row r="34" spans="2:10" ht="13.8" customHeight="1" thickTop="1" thickBot="1" x14ac:dyDescent="0.35">
      <c r="B34" s="50"/>
      <c r="C34" s="41"/>
      <c r="D34" s="46"/>
      <c r="E34" s="46"/>
      <c r="F34" s="43"/>
      <c r="G34" s="51"/>
      <c r="H34" s="41"/>
      <c r="I34" s="47"/>
      <c r="J34" s="124"/>
    </row>
    <row r="35" spans="2:10" ht="4.2" customHeight="1" thickTop="1" thickBot="1" x14ac:dyDescent="0.35">
      <c r="B35" s="50"/>
      <c r="C35" s="41" t="s">
        <v>163</v>
      </c>
      <c r="D35" s="46">
        <f>SUBTOTAL(109,D13:D34)</f>
        <v>947000</v>
      </c>
      <c r="E35" s="46">
        <f>SUBTOTAL(109,E13:E34)</f>
        <v>100000</v>
      </c>
      <c r="F35" s="43"/>
      <c r="G35" s="51"/>
      <c r="H35" s="41" t="s">
        <v>163</v>
      </c>
      <c r="I35" s="59">
        <f>SUBTOTAL(109,I13:I34)</f>
        <v>360500</v>
      </c>
      <c r="J35" s="125">
        <f>SUBTOTAL(109,J13:J34)</f>
        <v>13000</v>
      </c>
    </row>
    <row r="36" spans="2:10" ht="15.6" thickTop="1" thickBot="1" x14ac:dyDescent="0.35">
      <c r="B36" s="50"/>
      <c r="C36" s="41"/>
      <c r="D36" s="46"/>
      <c r="E36" s="46"/>
      <c r="F36" s="43"/>
      <c r="G36" s="51">
        <v>46112</v>
      </c>
      <c r="H36" s="41" t="s">
        <v>159</v>
      </c>
      <c r="I36" s="75">
        <f>D35-I35</f>
        <v>586500</v>
      </c>
      <c r="J36" s="126">
        <f>E35-J35</f>
        <v>87000</v>
      </c>
    </row>
    <row r="37" spans="2:10" ht="15" thickTop="1" x14ac:dyDescent="0.3">
      <c r="B37" s="67"/>
      <c r="C37" s="68"/>
      <c r="D37" s="69"/>
      <c r="E37" s="69"/>
      <c r="F37" s="43"/>
      <c r="G37" s="70"/>
      <c r="H37" s="68"/>
      <c r="I37" s="71"/>
      <c r="J37" s="72"/>
    </row>
    <row r="38" spans="2:10" x14ac:dyDescent="0.3">
      <c r="D38" s="74"/>
      <c r="I38" s="60"/>
    </row>
  </sheetData>
  <mergeCells count="12">
    <mergeCell ref="G11:J11"/>
    <mergeCell ref="B11:E11"/>
    <mergeCell ref="B6:E6"/>
    <mergeCell ref="B7:D7"/>
    <mergeCell ref="B8:D8"/>
    <mergeCell ref="B9:D9"/>
    <mergeCell ref="G6:J6"/>
    <mergeCell ref="G7:I7"/>
    <mergeCell ref="G8:I8"/>
    <mergeCell ref="G9:I9"/>
    <mergeCell ref="B10:E10"/>
    <mergeCell ref="G10:J10"/>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2BC0D-C4D6-44E2-A89F-9588D1E04B72}">
  <sheetPr>
    <tabColor theme="4" tint="-0.249977111117893"/>
  </sheetPr>
  <dimension ref="A1:R17"/>
  <sheetViews>
    <sheetView zoomScale="94" workbookViewId="0">
      <selection activeCell="C7" sqref="C7"/>
    </sheetView>
  </sheetViews>
  <sheetFormatPr defaultRowHeight="14.4" x14ac:dyDescent="0.3"/>
  <cols>
    <col min="1" max="1" width="12" bestFit="1" customWidth="1"/>
    <col min="2" max="2" width="30.109375" customWidth="1"/>
    <col min="3" max="3" width="14.77734375" customWidth="1"/>
    <col min="4" max="4" width="11.44140625" customWidth="1"/>
    <col min="5" max="5" width="15.33203125" customWidth="1"/>
    <col min="6" max="6" width="3.33203125" customWidth="1"/>
    <col min="7" max="7" width="12.109375" bestFit="1" customWidth="1"/>
    <col min="8" max="8" width="37" bestFit="1" customWidth="1"/>
    <col min="9" max="9" width="15.77734375" customWidth="1"/>
    <col min="10" max="10" width="15.21875" customWidth="1"/>
    <col min="11" max="11" width="14.109375" bestFit="1" customWidth="1"/>
  </cols>
  <sheetData>
    <row r="1" spans="1:18" x14ac:dyDescent="0.3">
      <c r="A1" s="79"/>
      <c r="B1" s="80"/>
      <c r="C1" s="119"/>
      <c r="D1" s="119"/>
      <c r="E1" s="80"/>
      <c r="F1" s="80"/>
      <c r="G1" s="80"/>
      <c r="H1" s="80"/>
      <c r="I1" s="80"/>
      <c r="J1" s="80"/>
      <c r="K1" s="80"/>
    </row>
    <row r="2" spans="1:18" x14ac:dyDescent="0.3">
      <c r="A2" s="146" t="s">
        <v>187</v>
      </c>
      <c r="B2" s="146"/>
      <c r="C2" s="146"/>
      <c r="D2" s="146"/>
      <c r="E2" s="146"/>
      <c r="F2" s="80"/>
      <c r="G2" s="147" t="s">
        <v>54</v>
      </c>
      <c r="H2" s="147"/>
      <c r="I2" s="147"/>
      <c r="J2" s="147"/>
      <c r="K2" s="147"/>
    </row>
    <row r="3" spans="1:18" x14ac:dyDescent="0.3">
      <c r="A3" s="146"/>
      <c r="B3" s="146"/>
      <c r="C3" s="146"/>
      <c r="D3" s="146"/>
      <c r="E3" s="146"/>
      <c r="F3" s="80"/>
      <c r="G3" s="147"/>
      <c r="H3" s="147"/>
      <c r="I3" s="147"/>
      <c r="J3" s="147"/>
      <c r="K3" s="147"/>
      <c r="O3" s="76"/>
      <c r="Q3" s="60"/>
      <c r="R3" s="60"/>
    </row>
    <row r="4" spans="1:18" ht="15" thickBot="1" x14ac:dyDescent="0.35">
      <c r="A4" s="79"/>
      <c r="B4" s="80"/>
      <c r="C4" s="119"/>
      <c r="D4" s="119"/>
      <c r="E4" s="80"/>
      <c r="F4" s="80"/>
      <c r="G4" s="80"/>
      <c r="H4" s="80"/>
      <c r="I4" s="80"/>
      <c r="J4" s="80"/>
      <c r="K4" s="80"/>
    </row>
    <row r="5" spans="1:18" ht="39.6" x14ac:dyDescent="0.3">
      <c r="A5" s="109" t="s">
        <v>1</v>
      </c>
      <c r="B5" s="110" t="s">
        <v>176</v>
      </c>
      <c r="C5" s="109" t="s">
        <v>180</v>
      </c>
      <c r="D5" s="109" t="s">
        <v>179</v>
      </c>
      <c r="E5" s="109" t="s">
        <v>178</v>
      </c>
      <c r="G5" s="109" t="s">
        <v>1</v>
      </c>
      <c r="H5" s="110" t="s">
        <v>176</v>
      </c>
      <c r="I5" s="109" t="s">
        <v>182</v>
      </c>
      <c r="J5" s="109" t="s">
        <v>183</v>
      </c>
      <c r="K5" s="109" t="s">
        <v>178</v>
      </c>
    </row>
    <row r="6" spans="1:18" x14ac:dyDescent="0.3">
      <c r="A6" s="112"/>
      <c r="B6" s="112"/>
      <c r="C6" s="112"/>
      <c r="D6" s="112"/>
      <c r="E6" s="112"/>
    </row>
    <row r="7" spans="1:18" x14ac:dyDescent="0.3">
      <c r="A7" s="113">
        <v>46082</v>
      </c>
      <c r="B7" s="114" t="s">
        <v>177</v>
      </c>
      <c r="C7" s="115" t="s">
        <v>174</v>
      </c>
      <c r="D7" s="115" t="s">
        <v>174</v>
      </c>
      <c r="E7" s="116">
        <v>0</v>
      </c>
      <c r="G7" s="113">
        <v>46082</v>
      </c>
      <c r="H7" t="s">
        <v>181</v>
      </c>
      <c r="K7" s="1">
        <v>0</v>
      </c>
    </row>
    <row r="8" spans="1:18" x14ac:dyDescent="0.3">
      <c r="A8" s="76"/>
      <c r="G8" s="76"/>
    </row>
    <row r="9" spans="1:18" x14ac:dyDescent="0.3">
      <c r="A9" s="76">
        <v>46088</v>
      </c>
      <c r="B9" t="s">
        <v>16</v>
      </c>
      <c r="C9">
        <v>25000</v>
      </c>
      <c r="E9" s="117">
        <f>E7+C9-D9</f>
        <v>25000</v>
      </c>
      <c r="G9" s="76">
        <v>46088</v>
      </c>
      <c r="H9" t="s">
        <v>48</v>
      </c>
      <c r="J9">
        <v>25000</v>
      </c>
      <c r="K9">
        <f>K7+J9-I9</f>
        <v>25000</v>
      </c>
    </row>
    <row r="10" spans="1:18" x14ac:dyDescent="0.3">
      <c r="A10" s="76">
        <v>46093</v>
      </c>
      <c r="B10" t="s">
        <v>79</v>
      </c>
      <c r="C10">
        <v>18000</v>
      </c>
      <c r="E10" s="117">
        <f>E9+C10-D10</f>
        <v>43000</v>
      </c>
      <c r="G10" s="76">
        <v>46093</v>
      </c>
      <c r="H10" t="s">
        <v>49</v>
      </c>
      <c r="J10">
        <v>18000</v>
      </c>
      <c r="K10">
        <f t="shared" ref="K10:K15" si="0">K9+J10-I10</f>
        <v>43000</v>
      </c>
    </row>
    <row r="11" spans="1:18" x14ac:dyDescent="0.3">
      <c r="A11" s="76">
        <v>46099</v>
      </c>
      <c r="B11" t="s">
        <v>16</v>
      </c>
      <c r="C11">
        <v>24000</v>
      </c>
      <c r="E11" s="117">
        <f>E10+C11-D11</f>
        <v>67000</v>
      </c>
      <c r="G11" s="76">
        <v>46099</v>
      </c>
      <c r="H11" t="s">
        <v>48</v>
      </c>
      <c r="J11">
        <v>24000</v>
      </c>
      <c r="K11">
        <f t="shared" si="0"/>
        <v>67000</v>
      </c>
    </row>
    <row r="12" spans="1:18" x14ac:dyDescent="0.3">
      <c r="A12" s="76">
        <v>46102</v>
      </c>
      <c r="B12" t="s">
        <v>34</v>
      </c>
      <c r="D12">
        <v>9000</v>
      </c>
      <c r="E12" s="117">
        <f>E11+C12-D12</f>
        <v>58000</v>
      </c>
      <c r="G12" s="76">
        <v>46099</v>
      </c>
      <c r="H12" t="s">
        <v>186</v>
      </c>
      <c r="I12">
        <v>24000</v>
      </c>
      <c r="K12">
        <f t="shared" si="0"/>
        <v>43000</v>
      </c>
    </row>
    <row r="13" spans="1:18" x14ac:dyDescent="0.3">
      <c r="A13" s="118">
        <v>46103</v>
      </c>
      <c r="B13" t="s">
        <v>184</v>
      </c>
      <c r="C13">
        <v>12000</v>
      </c>
      <c r="E13" s="117">
        <f>E12+C13-D13</f>
        <v>70000</v>
      </c>
      <c r="G13" s="76">
        <v>46102</v>
      </c>
      <c r="H13" t="s">
        <v>50</v>
      </c>
      <c r="I13">
        <v>9000</v>
      </c>
      <c r="K13">
        <f t="shared" si="0"/>
        <v>34000</v>
      </c>
    </row>
    <row r="14" spans="1:18" x14ac:dyDescent="0.3">
      <c r="A14" s="76">
        <v>46108</v>
      </c>
      <c r="B14" t="s">
        <v>185</v>
      </c>
      <c r="C14">
        <v>12000</v>
      </c>
      <c r="E14" s="117">
        <f>E13+C14-D14</f>
        <v>82000</v>
      </c>
      <c r="G14" s="76">
        <v>46110</v>
      </c>
      <c r="H14" t="s">
        <v>51</v>
      </c>
      <c r="I14">
        <v>500</v>
      </c>
      <c r="K14">
        <f t="shared" si="0"/>
        <v>33500</v>
      </c>
    </row>
    <row r="15" spans="1:18" x14ac:dyDescent="0.3">
      <c r="A15" s="76">
        <v>46109</v>
      </c>
      <c r="B15" t="s">
        <v>43</v>
      </c>
      <c r="D15">
        <v>4000</v>
      </c>
      <c r="E15" s="117">
        <f>E14+C15+-D15</f>
        <v>78000</v>
      </c>
      <c r="G15" s="76">
        <v>46112</v>
      </c>
      <c r="H15" t="s">
        <v>52</v>
      </c>
      <c r="J15">
        <v>300</v>
      </c>
      <c r="K15" s="1">
        <f t="shared" si="0"/>
        <v>33800</v>
      </c>
    </row>
    <row r="16" spans="1:18" x14ac:dyDescent="0.3">
      <c r="A16" s="76">
        <v>46111</v>
      </c>
      <c r="B16" t="s">
        <v>16</v>
      </c>
      <c r="C16">
        <v>9000</v>
      </c>
      <c r="E16" s="116">
        <f>+E15+C16-D16</f>
        <v>87000</v>
      </c>
      <c r="K16" s="1" t="s">
        <v>53</v>
      </c>
    </row>
    <row r="17" spans="5:5" ht="15" thickBot="1" x14ac:dyDescent="0.35">
      <c r="E17" s="111" t="s">
        <v>53</v>
      </c>
    </row>
  </sheetData>
  <mergeCells count="2">
    <mergeCell ref="A2:E3"/>
    <mergeCell ref="G2:K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65B00-EA42-4DFC-8CA0-B0E5506B7222}">
  <sheetPr>
    <tabColor theme="4" tint="-0.249977111117893"/>
  </sheetPr>
  <dimension ref="A1:L36"/>
  <sheetViews>
    <sheetView topLeftCell="A15" zoomScale="109" zoomScaleNormal="100" workbookViewId="0">
      <selection activeCell="F8" sqref="F8"/>
    </sheetView>
  </sheetViews>
  <sheetFormatPr defaultRowHeight="14.4" x14ac:dyDescent="0.3"/>
  <cols>
    <col min="1" max="1" width="48" bestFit="1" customWidth="1"/>
    <col min="2" max="2" width="12.44140625" bestFit="1" customWidth="1"/>
    <col min="3" max="3" width="10.109375" customWidth="1"/>
    <col min="4" max="4" width="25.6640625" customWidth="1"/>
    <col min="5" max="5" width="13.21875" customWidth="1"/>
    <col min="6" max="6" width="16.21875" customWidth="1"/>
    <col min="7" max="7" width="28.33203125" bestFit="1" customWidth="1"/>
    <col min="8" max="8" width="6.6640625" customWidth="1"/>
    <col min="9" max="9" width="5.88671875" customWidth="1"/>
    <col min="10" max="10" width="22.5546875" bestFit="1" customWidth="1"/>
    <col min="11" max="11" width="15.5546875" bestFit="1" customWidth="1"/>
    <col min="12" max="12" width="8.88671875" customWidth="1"/>
  </cols>
  <sheetData>
    <row r="1" spans="1:12" ht="18" x14ac:dyDescent="0.35">
      <c r="A1" s="148" t="s">
        <v>172</v>
      </c>
      <c r="B1" s="149"/>
      <c r="C1" s="149"/>
      <c r="D1" s="149"/>
      <c r="E1" s="150"/>
    </row>
    <row r="2" spans="1:12" ht="18" x14ac:dyDescent="0.35">
      <c r="A2" s="151" t="s">
        <v>164</v>
      </c>
      <c r="B2" s="152"/>
      <c r="C2" s="152"/>
      <c r="D2" s="152"/>
      <c r="E2" s="153"/>
    </row>
    <row r="3" spans="1:12" ht="18" x14ac:dyDescent="0.35">
      <c r="A3" s="151" t="s">
        <v>173</v>
      </c>
      <c r="B3" s="152"/>
      <c r="C3" s="152"/>
      <c r="D3" s="152"/>
      <c r="E3" s="153"/>
    </row>
    <row r="4" spans="1:12" x14ac:dyDescent="0.3">
      <c r="A4" s="82"/>
      <c r="B4" s="81"/>
      <c r="C4" s="81"/>
      <c r="D4" s="81"/>
      <c r="E4" s="83"/>
    </row>
    <row r="5" spans="1:12" ht="31.2" x14ac:dyDescent="0.3">
      <c r="A5" s="84" t="s">
        <v>2</v>
      </c>
      <c r="B5" s="85" t="s">
        <v>1</v>
      </c>
      <c r="C5" s="85" t="s">
        <v>165</v>
      </c>
      <c r="D5" s="81"/>
      <c r="E5" s="86" t="s">
        <v>175</v>
      </c>
    </row>
    <row r="6" spans="1:12" x14ac:dyDescent="0.3">
      <c r="A6" s="82"/>
      <c r="B6" s="81"/>
      <c r="C6" s="81"/>
      <c r="D6" s="81"/>
      <c r="E6" s="83"/>
    </row>
    <row r="7" spans="1:12" x14ac:dyDescent="0.3">
      <c r="A7" s="82"/>
      <c r="B7" s="81"/>
      <c r="C7" s="81"/>
      <c r="D7" s="81"/>
      <c r="E7" s="83"/>
      <c r="H7" s="1"/>
    </row>
    <row r="8" spans="1:12" ht="18" x14ac:dyDescent="0.3">
      <c r="A8" s="87" t="s">
        <v>166</v>
      </c>
      <c r="B8" s="88"/>
      <c r="C8" s="88"/>
      <c r="D8" s="88"/>
      <c r="E8" s="103">
        <f>'CASH BOOK'!J36</f>
        <v>87000</v>
      </c>
      <c r="H8" s="2"/>
      <c r="I8" s="2"/>
      <c r="J8" s="2"/>
      <c r="K8" s="2"/>
      <c r="L8" s="2"/>
    </row>
    <row r="9" spans="1:12" x14ac:dyDescent="0.3">
      <c r="A9" s="82"/>
      <c r="B9" s="81"/>
      <c r="C9" s="81"/>
      <c r="D9" s="81"/>
      <c r="E9" s="91"/>
      <c r="H9" s="76"/>
    </row>
    <row r="10" spans="1:12" x14ac:dyDescent="0.3">
      <c r="A10" s="82"/>
      <c r="B10" s="81"/>
      <c r="C10" s="81"/>
      <c r="D10" s="81"/>
      <c r="E10" s="91"/>
      <c r="H10" s="76"/>
    </row>
    <row r="11" spans="1:12" ht="15.6" x14ac:dyDescent="0.3">
      <c r="A11" s="89" t="s">
        <v>167</v>
      </c>
      <c r="B11" s="90"/>
      <c r="C11" s="90"/>
      <c r="D11" s="90"/>
      <c r="E11" s="104"/>
      <c r="F11" s="76"/>
    </row>
    <row r="12" spans="1:12" ht="15.6" x14ac:dyDescent="0.3">
      <c r="A12" s="84"/>
      <c r="B12" s="81"/>
      <c r="C12" s="81"/>
      <c r="D12" s="81"/>
      <c r="E12" s="91"/>
      <c r="F12" s="76"/>
    </row>
    <row r="13" spans="1:12" x14ac:dyDescent="0.3">
      <c r="A13" s="92" t="s">
        <v>186</v>
      </c>
      <c r="B13" s="79">
        <v>46099</v>
      </c>
      <c r="C13" s="81"/>
      <c r="D13" s="81"/>
      <c r="E13" s="93">
        <v>-24000</v>
      </c>
      <c r="F13" s="76"/>
    </row>
    <row r="14" spans="1:12" x14ac:dyDescent="0.3">
      <c r="A14" s="92" t="s">
        <v>51</v>
      </c>
      <c r="B14" s="79">
        <v>46110</v>
      </c>
      <c r="C14" s="94"/>
      <c r="D14" s="81"/>
      <c r="E14" s="95">
        <v>-500</v>
      </c>
      <c r="F14" s="76"/>
    </row>
    <row r="15" spans="1:12" x14ac:dyDescent="0.3">
      <c r="A15" s="92" t="s">
        <v>52</v>
      </c>
      <c r="B15" s="79">
        <v>46112</v>
      </c>
      <c r="C15" s="81"/>
      <c r="D15" s="81"/>
      <c r="E15" s="96">
        <v>300</v>
      </c>
      <c r="H15" s="76"/>
    </row>
    <row r="16" spans="1:12" ht="15" thickBot="1" x14ac:dyDescent="0.35">
      <c r="A16" s="82"/>
      <c r="B16" s="81"/>
      <c r="C16" s="81"/>
      <c r="D16" s="81"/>
      <c r="E16" s="105">
        <f>SUM(E13:E15)</f>
        <v>-24200</v>
      </c>
      <c r="H16" s="76"/>
    </row>
    <row r="17" spans="1:10" ht="16.2" thickTop="1" x14ac:dyDescent="0.3">
      <c r="A17" s="84"/>
      <c r="B17" s="81"/>
      <c r="C17" s="81"/>
      <c r="D17" s="81"/>
      <c r="E17" s="95"/>
    </row>
    <row r="18" spans="1:10" x14ac:dyDescent="0.3">
      <c r="A18" s="82"/>
      <c r="B18" s="81"/>
      <c r="C18" s="81"/>
      <c r="D18" s="81"/>
      <c r="E18" s="91"/>
    </row>
    <row r="19" spans="1:10" x14ac:dyDescent="0.3">
      <c r="A19" s="82"/>
      <c r="B19" s="81"/>
      <c r="C19" s="81"/>
      <c r="D19" s="81"/>
      <c r="E19" s="91"/>
    </row>
    <row r="20" spans="1:10" ht="15.6" x14ac:dyDescent="0.3">
      <c r="A20" s="89" t="s">
        <v>168</v>
      </c>
      <c r="B20" s="90"/>
      <c r="C20" s="90"/>
      <c r="D20" s="90"/>
      <c r="E20" s="104"/>
    </row>
    <row r="21" spans="1:10" x14ac:dyDescent="0.3">
      <c r="A21" s="82"/>
      <c r="B21" s="81"/>
      <c r="C21" s="81"/>
      <c r="D21" s="81"/>
      <c r="E21" s="91"/>
    </row>
    <row r="22" spans="1:10" x14ac:dyDescent="0.3">
      <c r="A22" s="97" t="s">
        <v>169</v>
      </c>
      <c r="B22" s="81"/>
      <c r="C22" s="81"/>
      <c r="D22" s="81"/>
      <c r="E22" s="91"/>
    </row>
    <row r="23" spans="1:10" x14ac:dyDescent="0.3">
      <c r="A23" s="92" t="s">
        <v>23</v>
      </c>
      <c r="B23" s="79">
        <v>46103</v>
      </c>
      <c r="D23" s="81"/>
      <c r="E23" s="93">
        <v>-12000</v>
      </c>
      <c r="H23" s="76"/>
    </row>
    <row r="24" spans="1:10" x14ac:dyDescent="0.3">
      <c r="A24" s="92" t="s">
        <v>185</v>
      </c>
      <c r="B24" s="79">
        <v>46108</v>
      </c>
      <c r="C24" s="81"/>
      <c r="D24" s="81"/>
      <c r="E24" s="106">
        <v>-12000</v>
      </c>
      <c r="H24" s="76"/>
    </row>
    <row r="25" spans="1:10" x14ac:dyDescent="0.3">
      <c r="A25" s="92" t="s">
        <v>16</v>
      </c>
      <c r="B25" s="79">
        <v>46111</v>
      </c>
      <c r="C25" s="94"/>
      <c r="D25" s="81"/>
      <c r="E25" s="91">
        <v>-9000</v>
      </c>
      <c r="F25" s="76"/>
    </row>
    <row r="26" spans="1:10" ht="15" thickBot="1" x14ac:dyDescent="0.35">
      <c r="A26" s="82"/>
      <c r="B26" s="81"/>
      <c r="C26" s="81"/>
      <c r="D26" s="81"/>
      <c r="E26" s="107">
        <f>SUM(E23:E25)</f>
        <v>-33000</v>
      </c>
    </row>
    <row r="27" spans="1:10" ht="15" thickTop="1" x14ac:dyDescent="0.3">
      <c r="A27" s="82"/>
      <c r="B27" s="81"/>
      <c r="C27" s="81"/>
      <c r="D27" s="81"/>
      <c r="E27" s="91"/>
      <c r="F27" s="76"/>
    </row>
    <row r="28" spans="1:10" x14ac:dyDescent="0.3">
      <c r="A28" s="97" t="s">
        <v>170</v>
      </c>
      <c r="B28" s="81"/>
      <c r="C28" s="81"/>
      <c r="D28" s="81"/>
      <c r="E28" s="91"/>
      <c r="F28" s="76"/>
    </row>
    <row r="29" spans="1:10" x14ac:dyDescent="0.3">
      <c r="A29" s="98" t="s">
        <v>43</v>
      </c>
      <c r="B29" s="79">
        <v>46109</v>
      </c>
      <c r="C29" s="94"/>
      <c r="D29" s="81"/>
      <c r="E29" s="95">
        <v>4000</v>
      </c>
    </row>
    <row r="30" spans="1:10" ht="15" thickBot="1" x14ac:dyDescent="0.35">
      <c r="A30" s="99"/>
      <c r="B30" s="100"/>
      <c r="C30" s="94"/>
      <c r="D30" s="81"/>
      <c r="E30" s="105">
        <f>E29</f>
        <v>4000</v>
      </c>
    </row>
    <row r="31" spans="1:10" ht="15" thickTop="1" x14ac:dyDescent="0.3">
      <c r="A31" s="99"/>
      <c r="B31" s="100"/>
      <c r="C31" s="94"/>
      <c r="D31" s="81"/>
      <c r="E31" s="93"/>
      <c r="H31" s="77"/>
      <c r="I31" s="78"/>
      <c r="J31" s="78"/>
    </row>
    <row r="32" spans="1:10" x14ac:dyDescent="0.3">
      <c r="A32" s="82"/>
      <c r="B32" s="81"/>
      <c r="C32" s="81"/>
      <c r="E32" s="91"/>
      <c r="H32" s="76"/>
    </row>
    <row r="33" spans="1:8" ht="15" thickBot="1" x14ac:dyDescent="0.35">
      <c r="A33" s="82"/>
      <c r="B33" s="81"/>
      <c r="C33" s="81"/>
      <c r="D33" s="81"/>
      <c r="E33" s="91"/>
      <c r="H33" s="76"/>
    </row>
    <row r="34" spans="1:8" ht="18.600000000000001" thickBot="1" x14ac:dyDescent="0.4">
      <c r="A34" s="101" t="s">
        <v>171</v>
      </c>
      <c r="B34" s="102"/>
      <c r="C34" s="102"/>
      <c r="D34" s="102"/>
      <c r="E34" s="108">
        <f>E8+E16+E26+E30</f>
        <v>33800</v>
      </c>
      <c r="H34" s="76"/>
    </row>
    <row r="35" spans="1:8" x14ac:dyDescent="0.3">
      <c r="H35" s="76"/>
    </row>
    <row r="36" spans="1:8" x14ac:dyDescent="0.3">
      <c r="H36" s="76"/>
    </row>
  </sheetData>
  <mergeCells count="3">
    <mergeCell ref="A1:E1"/>
    <mergeCell ref="A2:E2"/>
    <mergeCell ref="A3:E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0F96A-8185-4B80-B5AC-E1846ADAE31D}">
  <sheetPr>
    <tabColor theme="4" tint="-0.249977111117893"/>
  </sheetPr>
  <dimension ref="A1:O36"/>
  <sheetViews>
    <sheetView showGridLines="0" zoomScale="109" workbookViewId="0">
      <selection activeCell="F9" sqref="F9:G32"/>
    </sheetView>
  </sheetViews>
  <sheetFormatPr defaultRowHeight="14.4" x14ac:dyDescent="0.3"/>
  <cols>
    <col min="2" max="2" width="23.109375" bestFit="1" customWidth="1"/>
    <col min="6" max="6" width="12.77734375" bestFit="1" customWidth="1"/>
    <col min="7" max="7" width="10.109375" customWidth="1"/>
  </cols>
  <sheetData>
    <row r="1" spans="1:15" x14ac:dyDescent="0.3">
      <c r="A1" s="131"/>
      <c r="B1" s="131"/>
      <c r="C1" s="131"/>
      <c r="D1" s="131"/>
      <c r="E1" s="131"/>
      <c r="F1" s="131"/>
      <c r="G1" s="131"/>
      <c r="H1" s="131"/>
      <c r="I1" s="131"/>
    </row>
    <row r="2" spans="1:15" x14ac:dyDescent="0.3">
      <c r="A2" s="131"/>
      <c r="B2" s="131"/>
      <c r="C2" s="131"/>
      <c r="D2" s="131"/>
      <c r="E2" s="131"/>
      <c r="F2" s="131"/>
      <c r="G2" s="131"/>
      <c r="H2" s="131"/>
      <c r="I2" s="131"/>
    </row>
    <row r="3" spans="1:15" x14ac:dyDescent="0.3">
      <c r="A3" s="131"/>
      <c r="B3" s="131"/>
      <c r="C3" s="131"/>
      <c r="D3" s="131"/>
      <c r="E3" s="131"/>
      <c r="F3" s="131"/>
      <c r="G3" s="131"/>
      <c r="H3" s="131"/>
      <c r="I3" s="131"/>
    </row>
    <row r="4" spans="1:15" x14ac:dyDescent="0.3">
      <c r="A4" s="131"/>
      <c r="B4" s="131"/>
      <c r="C4" s="131"/>
      <c r="D4" s="131"/>
      <c r="E4" s="131"/>
      <c r="F4" s="131"/>
      <c r="G4" s="131"/>
      <c r="H4" s="131"/>
      <c r="I4" s="131"/>
    </row>
    <row r="5" spans="1:15" x14ac:dyDescent="0.3">
      <c r="A5" s="131"/>
      <c r="B5" s="131"/>
      <c r="C5" s="131"/>
      <c r="D5" s="131"/>
      <c r="E5" s="131"/>
      <c r="F5" s="131"/>
      <c r="G5" s="131"/>
      <c r="H5" s="131"/>
      <c r="I5" s="131"/>
    </row>
    <row r="6" spans="1:15" x14ac:dyDescent="0.3">
      <c r="A6" s="131"/>
      <c r="B6" s="131"/>
      <c r="C6" s="131"/>
      <c r="D6" s="131"/>
      <c r="E6" s="131"/>
      <c r="F6" s="131"/>
      <c r="G6" s="131"/>
      <c r="H6" s="131"/>
      <c r="I6" s="131"/>
    </row>
    <row r="7" spans="1:15" x14ac:dyDescent="0.3">
      <c r="A7" s="131"/>
      <c r="B7" s="131"/>
      <c r="C7" s="131"/>
      <c r="D7" s="131"/>
      <c r="E7" s="131"/>
      <c r="F7" s="131"/>
      <c r="G7" s="131"/>
      <c r="H7" s="131"/>
      <c r="I7" s="131"/>
    </row>
    <row r="8" spans="1:15" x14ac:dyDescent="0.3">
      <c r="A8" s="131"/>
      <c r="B8" s="131"/>
      <c r="C8" s="131"/>
      <c r="D8" s="131"/>
      <c r="E8" s="131"/>
      <c r="F8" s="131"/>
      <c r="G8" s="131"/>
      <c r="H8" s="131"/>
      <c r="I8" s="131"/>
    </row>
    <row r="9" spans="1:15" x14ac:dyDescent="0.3">
      <c r="B9" s="17" t="s">
        <v>105</v>
      </c>
      <c r="C9" s="18"/>
      <c r="D9" s="18"/>
      <c r="E9" s="18"/>
      <c r="F9" s="19">
        <f>'TRIAL BALANCE'!D27</f>
        <v>780000</v>
      </c>
      <c r="G9" s="20"/>
    </row>
    <row r="10" spans="1:15" x14ac:dyDescent="0.3">
      <c r="B10" s="21" t="s">
        <v>104</v>
      </c>
      <c r="C10" s="16"/>
      <c r="D10" s="16"/>
      <c r="E10" s="16"/>
      <c r="F10" s="22">
        <f>-'TRIAL BALANCE'!C28</f>
        <v>-3000</v>
      </c>
      <c r="G10" s="23"/>
    </row>
    <row r="11" spans="1:15" x14ac:dyDescent="0.3">
      <c r="B11" s="21" t="s">
        <v>106</v>
      </c>
      <c r="C11" s="16"/>
      <c r="D11" s="16"/>
      <c r="E11" s="16"/>
      <c r="F11" s="24"/>
      <c r="G11" s="23">
        <f>SUM(F9:F10)</f>
        <v>777000</v>
      </c>
    </row>
    <row r="12" spans="1:15" x14ac:dyDescent="0.3">
      <c r="B12" s="21"/>
      <c r="C12" s="16"/>
      <c r="D12" s="16"/>
      <c r="E12" s="16"/>
      <c r="F12" s="24"/>
      <c r="G12" s="23"/>
      <c r="M12" s="11"/>
      <c r="N12" s="11"/>
      <c r="O12" s="11"/>
    </row>
    <row r="13" spans="1:15" x14ac:dyDescent="0.3">
      <c r="B13" s="21" t="s">
        <v>107</v>
      </c>
      <c r="C13" s="16"/>
      <c r="D13" s="16"/>
      <c r="E13" s="16"/>
      <c r="F13" s="24"/>
      <c r="G13" s="23"/>
      <c r="M13" s="11"/>
      <c r="N13" s="11"/>
      <c r="O13" s="11"/>
    </row>
    <row r="14" spans="1:15" x14ac:dyDescent="0.3">
      <c r="B14" s="21" t="s">
        <v>137</v>
      </c>
      <c r="C14" s="16"/>
      <c r="D14" s="16"/>
      <c r="E14" s="16"/>
      <c r="F14" s="24">
        <f>-'TRIAL BALANCE'!C22</f>
        <v>-225000</v>
      </c>
      <c r="G14" s="23"/>
      <c r="M14" s="11"/>
      <c r="N14" s="11"/>
      <c r="O14" s="11"/>
    </row>
    <row r="15" spans="1:15" x14ac:dyDescent="0.3">
      <c r="B15" s="21" t="s">
        <v>136</v>
      </c>
      <c r="C15" s="16"/>
      <c r="D15" s="16"/>
      <c r="E15" s="16"/>
      <c r="F15" s="24">
        <f>'TRIAL BALANCE'!D32</f>
        <v>5000</v>
      </c>
      <c r="G15" s="23"/>
      <c r="M15" s="11"/>
      <c r="N15" s="11"/>
      <c r="O15" s="11"/>
    </row>
    <row r="16" spans="1:15" x14ac:dyDescent="0.3">
      <c r="B16" s="21" t="s">
        <v>108</v>
      </c>
      <c r="C16" s="16"/>
      <c r="D16" s="16"/>
      <c r="E16" s="16"/>
      <c r="F16" s="25">
        <v>11400</v>
      </c>
      <c r="G16" s="26">
        <f>SUM(F13:F16)</f>
        <v>-208600</v>
      </c>
      <c r="M16" s="11"/>
      <c r="N16" s="11"/>
      <c r="O16" s="11"/>
    </row>
    <row r="17" spans="2:15" x14ac:dyDescent="0.3">
      <c r="B17" s="21" t="s">
        <v>109</v>
      </c>
      <c r="C17" s="16"/>
      <c r="D17" s="16"/>
      <c r="E17" s="16"/>
      <c r="F17" s="24"/>
      <c r="G17" s="23">
        <f>SUM(G11:G16)</f>
        <v>568400</v>
      </c>
      <c r="M17" s="11"/>
      <c r="N17" s="11"/>
      <c r="O17" s="11"/>
    </row>
    <row r="18" spans="2:15" x14ac:dyDescent="0.3">
      <c r="B18" s="21"/>
      <c r="C18" s="16"/>
      <c r="D18" s="16"/>
      <c r="E18" s="16"/>
      <c r="F18" s="24"/>
      <c r="G18" s="23"/>
      <c r="M18" s="11"/>
      <c r="N18" s="11"/>
      <c r="O18" s="11"/>
    </row>
    <row r="19" spans="2:15" x14ac:dyDescent="0.3">
      <c r="B19" s="21" t="s">
        <v>110</v>
      </c>
      <c r="C19" s="16"/>
      <c r="D19" s="16"/>
      <c r="E19" s="16"/>
      <c r="F19" s="24"/>
      <c r="G19" s="23"/>
      <c r="M19" s="11"/>
      <c r="N19" s="11"/>
      <c r="O19" s="11"/>
    </row>
    <row r="20" spans="2:15" x14ac:dyDescent="0.3">
      <c r="B20" s="21" t="s">
        <v>111</v>
      </c>
      <c r="C20" s="16"/>
      <c r="D20" s="16"/>
      <c r="E20" s="16"/>
      <c r="F20" s="24">
        <f>'GENERAL LEDGER'!F26</f>
        <v>40000</v>
      </c>
      <c r="G20" s="23"/>
      <c r="M20" s="11"/>
      <c r="N20" s="11"/>
      <c r="O20" s="11"/>
    </row>
    <row r="21" spans="2:15" x14ac:dyDescent="0.3">
      <c r="B21" s="21" t="s">
        <v>112</v>
      </c>
      <c r="C21" s="16"/>
      <c r="D21" s="16"/>
      <c r="E21" s="16"/>
      <c r="F21" s="24">
        <f>'GENERAL LEDGER'!F20</f>
        <v>12500</v>
      </c>
      <c r="G21" s="23"/>
      <c r="M21" s="11"/>
      <c r="N21" s="11"/>
      <c r="O21" s="11"/>
    </row>
    <row r="22" spans="2:15" x14ac:dyDescent="0.3">
      <c r="B22" s="21" t="s">
        <v>120</v>
      </c>
      <c r="C22" s="16"/>
      <c r="D22" s="16"/>
      <c r="E22" s="16"/>
      <c r="F22" s="24">
        <f>'GENERAL LEDGER'!F32</f>
        <v>5500</v>
      </c>
      <c r="G22" s="23"/>
      <c r="M22" s="11"/>
      <c r="N22" s="11"/>
      <c r="O22" s="11"/>
    </row>
    <row r="23" spans="2:15" x14ac:dyDescent="0.3">
      <c r="B23" s="21" t="s">
        <v>113</v>
      </c>
      <c r="C23" s="16"/>
      <c r="D23" s="16"/>
      <c r="E23" s="16"/>
      <c r="F23" s="24">
        <f>'GENERAL LEDGER'!F21</f>
        <v>4500</v>
      </c>
      <c r="G23" s="23"/>
      <c r="M23" s="11"/>
      <c r="N23" s="11"/>
      <c r="O23" s="11"/>
    </row>
    <row r="24" spans="2:15" x14ac:dyDescent="0.3">
      <c r="B24" s="21" t="s">
        <v>114</v>
      </c>
      <c r="C24" s="16"/>
      <c r="D24" s="16"/>
      <c r="E24" s="16"/>
      <c r="F24" s="24">
        <f>'GENERAL LEDGER'!F27</f>
        <v>30000</v>
      </c>
      <c r="G24" s="23"/>
      <c r="M24" s="11"/>
      <c r="N24" s="11"/>
      <c r="O24" s="11"/>
    </row>
    <row r="25" spans="2:15" x14ac:dyDescent="0.3">
      <c r="B25" s="21" t="s">
        <v>115</v>
      </c>
      <c r="C25" s="16"/>
      <c r="D25" s="16"/>
      <c r="E25" s="16"/>
      <c r="F25" s="24">
        <f>'GENERAL LEDGER'!F33</f>
        <v>3200</v>
      </c>
      <c r="G25" s="23"/>
      <c r="M25" s="11"/>
      <c r="N25" s="11"/>
      <c r="O25" s="11"/>
    </row>
    <row r="26" spans="2:15" x14ac:dyDescent="0.3">
      <c r="B26" s="21" t="s">
        <v>116</v>
      </c>
      <c r="C26" s="16"/>
      <c r="D26" s="16"/>
      <c r="E26" s="16"/>
      <c r="F26" s="24">
        <f>'GENERAL LEDGER'!F11</f>
        <v>9000</v>
      </c>
      <c r="G26" s="23"/>
      <c r="M26" s="11"/>
      <c r="N26" s="11"/>
      <c r="O26" s="11"/>
    </row>
    <row r="27" spans="2:15" x14ac:dyDescent="0.3">
      <c r="B27" s="21" t="s">
        <v>117</v>
      </c>
      <c r="C27" s="16"/>
      <c r="D27" s="16"/>
      <c r="E27" s="16"/>
      <c r="F27" s="24">
        <f>'GENERAL LEDGER'!F18</f>
        <v>4000</v>
      </c>
      <c r="G27" s="23"/>
      <c r="M27" s="11"/>
      <c r="N27" s="11"/>
      <c r="O27" s="11"/>
    </row>
    <row r="28" spans="2:15" x14ac:dyDescent="0.3">
      <c r="B28" s="21" t="s">
        <v>118</v>
      </c>
      <c r="C28" s="16"/>
      <c r="D28" s="16"/>
      <c r="E28" s="16"/>
      <c r="F28" s="22">
        <f>'GENERAL LEDGER'!F19</f>
        <v>1500</v>
      </c>
      <c r="G28" s="23"/>
      <c r="M28" s="11"/>
      <c r="N28" s="11"/>
      <c r="O28" s="11"/>
    </row>
    <row r="29" spans="2:15" x14ac:dyDescent="0.3">
      <c r="B29" s="21" t="s">
        <v>122</v>
      </c>
      <c r="C29" s="16"/>
      <c r="D29" s="16"/>
      <c r="E29" s="16"/>
      <c r="F29" s="24"/>
      <c r="G29" s="23">
        <f>-SUM(F20:F28)</f>
        <v>-110200</v>
      </c>
      <c r="M29" s="11"/>
      <c r="N29" s="11"/>
      <c r="O29" s="11"/>
    </row>
    <row r="30" spans="2:15" x14ac:dyDescent="0.3">
      <c r="B30" s="21" t="s">
        <v>124</v>
      </c>
      <c r="C30" s="16"/>
      <c r="D30" s="16"/>
      <c r="E30" s="16"/>
      <c r="F30" s="24"/>
      <c r="G30" s="23">
        <v>0</v>
      </c>
      <c r="M30" s="11"/>
      <c r="N30" s="11"/>
      <c r="O30" s="11"/>
    </row>
    <row r="31" spans="2:15" x14ac:dyDescent="0.3">
      <c r="B31" s="21" t="s">
        <v>123</v>
      </c>
      <c r="C31" s="16"/>
      <c r="D31" s="16"/>
      <c r="E31" s="16"/>
      <c r="F31" s="24"/>
      <c r="G31" s="26">
        <v>0</v>
      </c>
    </row>
    <row r="32" spans="2:15" ht="15" thickBot="1" x14ac:dyDescent="0.35">
      <c r="B32" s="27" t="s">
        <v>125</v>
      </c>
      <c r="C32" s="25"/>
      <c r="D32" s="25"/>
      <c r="E32" s="25"/>
      <c r="F32" s="22"/>
      <c r="G32" s="28">
        <f>SUM(G17,G29:G30,G31)</f>
        <v>458200</v>
      </c>
    </row>
    <row r="33" spans="12:12" ht="15" thickTop="1" x14ac:dyDescent="0.3"/>
    <row r="36" spans="12:12" x14ac:dyDescent="0.3">
      <c r="L36" t="str">
        <f>UPPER('BALANCE SHEET'!I30)</f>
        <v/>
      </c>
    </row>
  </sheetData>
  <mergeCells count="1">
    <mergeCell ref="A1:I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AA1DF-C75A-4C43-8DE6-B6D126A80C38}">
  <sheetPr>
    <tabColor theme="4" tint="-0.249977111117893"/>
  </sheetPr>
  <dimension ref="A1:K45"/>
  <sheetViews>
    <sheetView showGridLines="0" zoomScale="99" workbookViewId="0">
      <selection activeCell="J38" sqref="J38"/>
    </sheetView>
  </sheetViews>
  <sheetFormatPr defaultRowHeight="14.4" x14ac:dyDescent="0.3"/>
  <cols>
    <col min="2" max="2" width="45.6640625" bestFit="1" customWidth="1"/>
    <col min="3" max="3" width="11" customWidth="1"/>
    <col min="4" max="4" width="10.21875" customWidth="1"/>
    <col min="5" max="5" width="9.88671875" bestFit="1" customWidth="1"/>
    <col min="8" max="8" width="9.5546875" bestFit="1" customWidth="1"/>
    <col min="9" max="9" width="9.21875" bestFit="1" customWidth="1"/>
    <col min="10" max="10" width="42.77734375" bestFit="1" customWidth="1"/>
  </cols>
  <sheetData>
    <row r="1" spans="1:11" x14ac:dyDescent="0.3">
      <c r="A1" s="131"/>
      <c r="B1" s="131"/>
      <c r="C1" s="131"/>
      <c r="D1" s="131"/>
      <c r="E1" s="131"/>
      <c r="F1" s="131"/>
    </row>
    <row r="2" spans="1:11" x14ac:dyDescent="0.3">
      <c r="A2" s="131"/>
      <c r="B2" s="131"/>
      <c r="C2" s="131"/>
      <c r="D2" s="131"/>
      <c r="E2" s="131"/>
      <c r="F2" s="131"/>
    </row>
    <row r="3" spans="1:11" x14ac:dyDescent="0.3">
      <c r="A3" s="131"/>
      <c r="B3" s="131"/>
      <c r="C3" s="131"/>
      <c r="D3" s="131"/>
      <c r="E3" s="131"/>
      <c r="F3" s="131"/>
    </row>
    <row r="4" spans="1:11" x14ac:dyDescent="0.3">
      <c r="A4" s="131"/>
      <c r="B4" s="131"/>
      <c r="C4" s="131"/>
      <c r="D4" s="131"/>
      <c r="E4" s="131"/>
      <c r="F4" s="131"/>
    </row>
    <row r="5" spans="1:11" x14ac:dyDescent="0.3">
      <c r="A5" s="131"/>
      <c r="B5" s="131"/>
      <c r="C5" s="131"/>
      <c r="D5" s="131"/>
      <c r="E5" s="131"/>
      <c r="F5" s="131"/>
    </row>
    <row r="6" spans="1:11" x14ac:dyDescent="0.3">
      <c r="A6" s="131"/>
      <c r="B6" s="131"/>
      <c r="C6" s="131"/>
      <c r="D6" s="131"/>
      <c r="E6" s="131"/>
      <c r="F6" s="131"/>
    </row>
    <row r="7" spans="1:11" x14ac:dyDescent="0.3">
      <c r="A7" s="131"/>
      <c r="B7" s="131"/>
      <c r="C7" s="131"/>
      <c r="D7" s="131"/>
      <c r="E7" s="131"/>
      <c r="F7" s="131"/>
    </row>
    <row r="8" spans="1:11" x14ac:dyDescent="0.3">
      <c r="A8" s="131"/>
      <c r="B8" s="131"/>
      <c r="C8" s="131"/>
      <c r="D8" s="131"/>
      <c r="E8" s="131"/>
      <c r="F8" s="131"/>
    </row>
    <row r="9" spans="1:11" ht="16.8" customHeight="1" x14ac:dyDescent="0.3">
      <c r="B9" s="29" t="s">
        <v>126</v>
      </c>
      <c r="C9" s="18"/>
      <c r="D9" s="18"/>
      <c r="E9" s="30"/>
      <c r="J9" s="15"/>
    </row>
    <row r="10" spans="1:11" ht="23.4" x14ac:dyDescent="0.3">
      <c r="B10" s="31" t="s">
        <v>71</v>
      </c>
      <c r="C10" s="32"/>
      <c r="D10" s="16"/>
      <c r="E10" s="33"/>
      <c r="J10" s="15"/>
    </row>
    <row r="11" spans="1:11" ht="14.4" customHeight="1" x14ac:dyDescent="0.3">
      <c r="B11" s="34" t="s">
        <v>138</v>
      </c>
      <c r="C11" s="32"/>
      <c r="D11" s="16"/>
      <c r="E11" s="23">
        <f>'GENERAL LEDGER'!F17</f>
        <v>586500</v>
      </c>
      <c r="G11" s="11"/>
      <c r="J11" s="15"/>
      <c r="K11" s="11"/>
    </row>
    <row r="12" spans="1:11" x14ac:dyDescent="0.3">
      <c r="B12" s="34" t="s">
        <v>139</v>
      </c>
      <c r="C12" s="32"/>
      <c r="D12" s="16"/>
      <c r="E12" s="23">
        <f>'GENERAL LEDGER'!F14</f>
        <v>87000</v>
      </c>
      <c r="G12" s="11"/>
    </row>
    <row r="13" spans="1:11" x14ac:dyDescent="0.3">
      <c r="B13" s="34" t="s">
        <v>140</v>
      </c>
      <c r="C13" s="32"/>
      <c r="D13" s="16"/>
      <c r="E13" s="23">
        <f>'GENERAL LEDGER'!F10+'GENERAL LEDGER'!F12+'GENERAL LEDGER'!F15+'GENERAL LEDGER'!F30</f>
        <v>308000</v>
      </c>
      <c r="G13" s="11"/>
    </row>
    <row r="14" spans="1:11" x14ac:dyDescent="0.3">
      <c r="B14" s="34" t="s">
        <v>141</v>
      </c>
      <c r="C14" s="32"/>
      <c r="D14" s="16"/>
      <c r="E14" s="23">
        <f>'GENERAL LEDGER'!F33</f>
        <v>3200</v>
      </c>
    </row>
    <row r="15" spans="1:11" x14ac:dyDescent="0.3">
      <c r="B15" s="34"/>
      <c r="C15" s="16"/>
      <c r="D15" s="16"/>
      <c r="E15" s="33"/>
    </row>
    <row r="16" spans="1:11" ht="15.6" x14ac:dyDescent="0.3">
      <c r="B16" s="35" t="s">
        <v>134</v>
      </c>
      <c r="C16" s="16"/>
      <c r="D16" s="16"/>
      <c r="E16" s="33"/>
    </row>
    <row r="17" spans="2:11" x14ac:dyDescent="0.3">
      <c r="B17" s="34" t="s">
        <v>142</v>
      </c>
      <c r="C17" s="16"/>
      <c r="D17" s="24">
        <f>'GENERAL LEDGER'!F25</f>
        <v>55000</v>
      </c>
      <c r="E17" s="33"/>
    </row>
    <row r="18" spans="2:11" x14ac:dyDescent="0.3">
      <c r="B18" s="34" t="s">
        <v>143</v>
      </c>
      <c r="C18" s="16"/>
      <c r="D18" s="22">
        <f>'GENERAL LEDGER'!F13</f>
        <v>-1500</v>
      </c>
      <c r="E18" s="33">
        <f>SUM(D17:D18)</f>
        <v>53500</v>
      </c>
    </row>
    <row r="19" spans="2:11" x14ac:dyDescent="0.3">
      <c r="B19" s="21"/>
      <c r="C19" s="16"/>
      <c r="D19" s="16"/>
      <c r="E19" s="33" t="s">
        <v>100</v>
      </c>
    </row>
    <row r="20" spans="2:11" ht="15" thickBot="1" x14ac:dyDescent="0.35">
      <c r="B20" s="36" t="s">
        <v>128</v>
      </c>
      <c r="C20" s="16"/>
      <c r="D20" s="16"/>
      <c r="E20" s="28">
        <f>SUM(E11:E18)</f>
        <v>1038200</v>
      </c>
    </row>
    <row r="21" spans="2:11" ht="15" thickTop="1" x14ac:dyDescent="0.3">
      <c r="B21" s="21"/>
      <c r="C21" s="16"/>
      <c r="D21" s="16"/>
      <c r="E21" s="33"/>
      <c r="I21" s="11"/>
    </row>
    <row r="22" spans="2:11" x14ac:dyDescent="0.3">
      <c r="B22" s="21"/>
      <c r="C22" s="16"/>
      <c r="D22" s="16"/>
      <c r="E22" s="33"/>
    </row>
    <row r="23" spans="2:11" x14ac:dyDescent="0.3">
      <c r="B23" s="37" t="s">
        <v>127</v>
      </c>
      <c r="C23" s="16"/>
      <c r="D23" s="16"/>
      <c r="E23" s="33"/>
    </row>
    <row r="24" spans="2:11" ht="15.6" x14ac:dyDescent="0.3">
      <c r="B24" s="31" t="s">
        <v>129</v>
      </c>
      <c r="C24" s="16"/>
      <c r="D24" s="16"/>
      <c r="E24" s="33"/>
    </row>
    <row r="25" spans="2:11" x14ac:dyDescent="0.3">
      <c r="B25" s="21" t="s">
        <v>144</v>
      </c>
      <c r="C25" s="16"/>
      <c r="D25" s="16"/>
      <c r="E25" s="23">
        <f>'GENERAL LEDGER'!F26</f>
        <v>40000</v>
      </c>
      <c r="H25" s="11"/>
    </row>
    <row r="26" spans="2:11" x14ac:dyDescent="0.3">
      <c r="B26" s="21"/>
      <c r="C26" s="16"/>
      <c r="D26" s="16"/>
      <c r="E26" s="33"/>
    </row>
    <row r="27" spans="2:11" ht="15.6" x14ac:dyDescent="0.3">
      <c r="B27" s="31" t="s">
        <v>130</v>
      </c>
      <c r="C27" s="16"/>
      <c r="D27" s="16"/>
      <c r="E27" s="33"/>
    </row>
    <row r="28" spans="2:11" x14ac:dyDescent="0.3">
      <c r="B28" s="21"/>
      <c r="C28" s="16"/>
      <c r="D28" s="16"/>
      <c r="E28" s="33"/>
    </row>
    <row r="29" spans="2:11" x14ac:dyDescent="0.3">
      <c r="B29" s="37" t="s">
        <v>131</v>
      </c>
      <c r="C29" s="16"/>
      <c r="D29" s="16"/>
      <c r="E29" s="73">
        <f>E25</f>
        <v>40000</v>
      </c>
    </row>
    <row r="30" spans="2:11" x14ac:dyDescent="0.3">
      <c r="B30" s="21"/>
      <c r="C30" s="16"/>
      <c r="D30" s="16"/>
      <c r="E30" s="33"/>
    </row>
    <row r="31" spans="2:11" x14ac:dyDescent="0.3">
      <c r="B31" s="37" t="s">
        <v>58</v>
      </c>
      <c r="C31" s="16"/>
      <c r="D31" s="16"/>
      <c r="E31" s="33"/>
      <c r="K31" t="str">
        <f t="shared" ref="K31:K40" si="0">UPPER(I31)</f>
        <v/>
      </c>
    </row>
    <row r="32" spans="2:11" x14ac:dyDescent="0.3">
      <c r="B32" s="21" t="s">
        <v>145</v>
      </c>
      <c r="C32" s="16"/>
      <c r="D32" s="16"/>
      <c r="E32" s="23">
        <f>'GENERAL LEDGER'!E16</f>
        <v>550000</v>
      </c>
      <c r="K32" t="str">
        <f t="shared" si="0"/>
        <v/>
      </c>
    </row>
    <row r="33" spans="2:11" x14ac:dyDescent="0.3">
      <c r="B33" s="21" t="s">
        <v>162</v>
      </c>
      <c r="C33" s="16"/>
      <c r="D33" s="16"/>
      <c r="E33" s="23">
        <v>-10000</v>
      </c>
      <c r="K33" t="str">
        <f t="shared" si="0"/>
        <v/>
      </c>
    </row>
    <row r="34" spans="2:11" x14ac:dyDescent="0.3">
      <c r="B34" s="21" t="s">
        <v>161</v>
      </c>
      <c r="C34" s="16"/>
      <c r="D34" s="16"/>
      <c r="E34" s="23">
        <f>'INCOME STATEMENT'!G32</f>
        <v>458200</v>
      </c>
      <c r="K34" t="str">
        <f t="shared" si="0"/>
        <v/>
      </c>
    </row>
    <row r="35" spans="2:11" x14ac:dyDescent="0.3">
      <c r="B35" s="21"/>
      <c r="C35" s="16"/>
      <c r="D35" s="16"/>
      <c r="E35" s="33"/>
      <c r="K35" t="str">
        <f t="shared" si="0"/>
        <v/>
      </c>
    </row>
    <row r="36" spans="2:11" x14ac:dyDescent="0.3">
      <c r="B36" s="37" t="s">
        <v>132</v>
      </c>
      <c r="C36" s="16"/>
      <c r="D36" s="16"/>
      <c r="E36" s="38">
        <f>SUM(E32:E34)</f>
        <v>998200</v>
      </c>
      <c r="K36" t="str">
        <f>UPPER(I36)</f>
        <v/>
      </c>
    </row>
    <row r="37" spans="2:11" x14ac:dyDescent="0.3">
      <c r="B37" s="21"/>
      <c r="C37" s="16"/>
      <c r="D37" s="16"/>
      <c r="E37" s="33"/>
      <c r="I37" t="str">
        <f t="shared" ref="I37:I40" si="1">UPPER(G37)</f>
        <v/>
      </c>
      <c r="K37" t="str">
        <f t="shared" si="0"/>
        <v/>
      </c>
    </row>
    <row r="38" spans="2:11" ht="15" thickBot="1" x14ac:dyDescent="0.35">
      <c r="B38" s="39" t="s">
        <v>133</v>
      </c>
      <c r="C38" s="25"/>
      <c r="D38" s="25"/>
      <c r="E38" s="28">
        <f>SUM(E36,E29)</f>
        <v>1038200</v>
      </c>
      <c r="I38" t="str">
        <f t="shared" si="1"/>
        <v/>
      </c>
      <c r="K38" t="str">
        <f t="shared" si="0"/>
        <v/>
      </c>
    </row>
    <row r="39" spans="2:11" ht="15" thickTop="1" x14ac:dyDescent="0.3">
      <c r="I39" t="str">
        <f t="shared" si="1"/>
        <v/>
      </c>
      <c r="K39" t="str">
        <f t="shared" si="0"/>
        <v/>
      </c>
    </row>
    <row r="40" spans="2:11" x14ac:dyDescent="0.3">
      <c r="B40" s="13"/>
      <c r="I40" t="str">
        <f t="shared" si="1"/>
        <v/>
      </c>
      <c r="K40" t="str">
        <f t="shared" si="0"/>
        <v/>
      </c>
    </row>
    <row r="45" spans="2:11" x14ac:dyDescent="0.3">
      <c r="F45" t="str">
        <f t="shared" ref="F45" si="2">UPPER(D45)</f>
        <v/>
      </c>
    </row>
  </sheetData>
  <mergeCells count="1">
    <mergeCell ref="A1:F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CHARTS OF ACCOUNTS</vt:lpstr>
      <vt:lpstr>Transactions</vt:lpstr>
      <vt:lpstr>GENERAL JOURNAL</vt:lpstr>
      <vt:lpstr>GENERAL LEDGER</vt:lpstr>
      <vt:lpstr>TRIAL BALANCE</vt:lpstr>
      <vt:lpstr>CASH BOOK</vt:lpstr>
      <vt:lpstr>DATA_FOR_BANK_RECONCILIATION</vt:lpstr>
      <vt:lpstr>BANK RECONCILIATION</vt:lpstr>
      <vt:lpstr>INCOME STATEMENT</vt:lpstr>
      <vt:lpstr>BALANCE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Hunar</cp:lastModifiedBy>
  <cp:lastPrinted>2026-10-23T21:31:55Z</cp:lastPrinted>
  <dcterms:created xsi:type="dcterms:W3CDTF">2026-10-23T17:29:27Z</dcterms:created>
  <dcterms:modified xsi:type="dcterms:W3CDTF">2026-10-26T19:22:17Z</dcterms:modified>
</cp:coreProperties>
</file>